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hansen/Desktop/"/>
    </mc:Choice>
  </mc:AlternateContent>
  <xr:revisionPtr revIDLastSave="0" documentId="13_ncr:1_{34917003-0ECE-194C-AEAE-CC8478DD9668}" xr6:coauthVersionLast="47" xr6:coauthVersionMax="47" xr10:uidLastSave="{00000000-0000-0000-0000-000000000000}"/>
  <bookViews>
    <workbookView xWindow="0" yWindow="0" windowWidth="28800" windowHeight="18000" activeTab="1" xr2:uid="{392CDCBD-FC76-7348-9F31-0BD54D1C5F25}"/>
  </bookViews>
  <sheets>
    <sheet name="Status" sheetId="3" r:id="rId1"/>
    <sheet name="Courses" sheetId="1" r:id="rId2"/>
    <sheet name="Lis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8" i="3" l="1" a="1"/>
  <c r="K38" i="3" s="1"/>
  <c r="A38" i="3" a="1"/>
  <c r="A38" i="3" s="1"/>
  <c r="B34" i="3" a="1"/>
  <c r="B34" i="3" s="1"/>
  <c r="B33" i="3" a="1"/>
  <c r="B33" i="3" s="1"/>
  <c r="B32" i="3" a="1"/>
  <c r="B32" i="3" s="1"/>
  <c r="B31" i="3" a="1"/>
  <c r="B31" i="3" s="1"/>
  <c r="B30" i="3" a="1"/>
  <c r="B30" i="3" s="1"/>
  <c r="B29" i="3" a="1"/>
  <c r="B29" i="3" s="1"/>
  <c r="B28" i="3" a="1"/>
  <c r="B28" i="3" s="1"/>
  <c r="B27" i="3" a="1"/>
  <c r="B27" i="3" s="1"/>
  <c r="B26" i="3" a="1"/>
  <c r="B26" i="3" s="1"/>
  <c r="B25" i="3" a="1"/>
  <c r="B25" i="3" s="1"/>
  <c r="F21" i="3" a="1"/>
  <c r="F21" i="3" s="1"/>
  <c r="F20" i="3" a="1"/>
  <c r="F20" i="3" s="1"/>
  <c r="F19" i="3" a="1"/>
  <c r="F19" i="3" s="1"/>
  <c r="F18" i="3" a="1"/>
  <c r="F18" i="3" s="1"/>
  <c r="F17" i="3" a="1"/>
  <c r="F17" i="3" s="1"/>
  <c r="F16" i="3" a="1"/>
  <c r="F16" i="3" s="1"/>
  <c r="F15" i="3" a="1"/>
  <c r="F15" i="3" s="1"/>
  <c r="B20" i="3" a="1"/>
  <c r="B20" i="3" s="1"/>
  <c r="B19" i="3" a="1"/>
  <c r="B19" i="3" s="1"/>
  <c r="B18" i="3" a="1"/>
  <c r="B18" i="3" s="1"/>
  <c r="B17" i="3" a="1"/>
  <c r="B17" i="3" s="1"/>
  <c r="B16" i="3" a="1"/>
  <c r="B16" i="3" s="1"/>
  <c r="B15" i="3" a="1"/>
  <c r="B15" i="3" s="1"/>
  <c r="B10" i="3" a="1"/>
  <c r="B10" i="3" s="1"/>
  <c r="G10" i="3"/>
  <c r="F10" i="3"/>
  <c r="B6" i="3" a="1"/>
  <c r="B6" i="3" s="1"/>
  <c r="F6" i="3"/>
  <c r="G6" i="3"/>
  <c r="F7" i="3"/>
  <c r="G7" i="3"/>
  <c r="F8" i="3"/>
  <c r="G8" i="3"/>
  <c r="B9" i="3"/>
  <c r="B8" i="3"/>
  <c r="F25" i="3"/>
  <c r="F9" i="3"/>
  <c r="G9" i="3"/>
  <c r="C30" i="3" l="1"/>
  <c r="G11" i="3"/>
  <c r="F11" i="3"/>
  <c r="G18" i="3"/>
  <c r="C31" i="3"/>
  <c r="C34" i="3"/>
  <c r="C32" i="3"/>
  <c r="C25" i="3"/>
  <c r="C16" i="3"/>
  <c r="C19" i="3"/>
  <c r="G16" i="3"/>
  <c r="C33" i="3"/>
  <c r="G19" i="3"/>
  <c r="C18" i="3"/>
  <c r="G21" i="3"/>
  <c r="G17" i="3"/>
  <c r="C15" i="3"/>
  <c r="C26" i="3"/>
  <c r="C29" i="3"/>
  <c r="C28" i="3"/>
  <c r="C27" i="3"/>
  <c r="C20" i="3"/>
  <c r="C17" i="3"/>
  <c r="G20" i="3"/>
  <c r="B7" i="3"/>
  <c r="G1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<sst xmlns="http://schemas.openxmlformats.org/spreadsheetml/2006/main" count="336" uniqueCount="174">
  <si>
    <t>Course Code</t>
  </si>
  <si>
    <t>Course Name</t>
  </si>
  <si>
    <t>ECTS</t>
  </si>
  <si>
    <t>Level</t>
  </si>
  <si>
    <t>Study-Line</t>
  </si>
  <si>
    <t>Semester</t>
  </si>
  <si>
    <t>Exam Form</t>
  </si>
  <si>
    <t>Study Form</t>
  </si>
  <si>
    <t>Teacher</t>
  </si>
  <si>
    <t>Class Time</t>
  </si>
  <si>
    <t>Exam Date</t>
  </si>
  <si>
    <t>Interest (1-5)</t>
  </si>
  <si>
    <t>Usefulness (1-5)</t>
  </si>
  <si>
    <t>Workload (1-5)</t>
  </si>
  <si>
    <t>Notes</t>
  </si>
  <si>
    <t>Link</t>
  </si>
  <si>
    <t>Status</t>
  </si>
  <si>
    <t>Interested</t>
  </si>
  <si>
    <t>Shortlist</t>
  </si>
  <si>
    <t>Chosen</t>
  </si>
  <si>
    <t>Backup</t>
  </si>
  <si>
    <t>Completed</t>
  </si>
  <si>
    <t>BSc</t>
  </si>
  <si>
    <t>Beng</t>
  </si>
  <si>
    <t>MSc</t>
  </si>
  <si>
    <t>L1</t>
  </si>
  <si>
    <t>L2</t>
  </si>
  <si>
    <t>E26</t>
  </si>
  <si>
    <t>F27</t>
  </si>
  <si>
    <t>E27</t>
  </si>
  <si>
    <t>F28</t>
  </si>
  <si>
    <t>E28</t>
  </si>
  <si>
    <t>Written</t>
  </si>
  <si>
    <t>Oral</t>
  </si>
  <si>
    <t>Project</t>
  </si>
  <si>
    <t>Lecture-based</t>
  </si>
  <si>
    <t>Lab</t>
  </si>
  <si>
    <t>Project work</t>
  </si>
  <si>
    <t>Study Line</t>
  </si>
  <si>
    <t>290252U002</t>
  </si>
  <si>
    <t>Fluids Engineering and Turbulence</t>
  </si>
  <si>
    <t>Mahdi Abkar</t>
  </si>
  <si>
    <t>Weekly Homework</t>
  </si>
  <si>
    <t>https://kursuskatalog.au.dk/da/course/142143/Fluids-Engineering-and-Turbulence</t>
  </si>
  <si>
    <t>Renewable Energy</t>
  </si>
  <si>
    <t>Thermo/Fluid Dynamics</t>
  </si>
  <si>
    <t>Robot Technology</t>
  </si>
  <si>
    <t>Dynamics</t>
  </si>
  <si>
    <t>Solid Mechanics</t>
  </si>
  <si>
    <t>Materials</t>
  </si>
  <si>
    <t>Mechanical Engineering Design</t>
  </si>
  <si>
    <t>Manufacturing</t>
  </si>
  <si>
    <t>290252U022</t>
  </si>
  <si>
    <t>Turbomachinery</t>
  </si>
  <si>
    <t>Jürgen Schmiegel</t>
  </si>
  <si>
    <t>Tor 8-12</t>
  </si>
  <si>
    <t>Tir 12-16</t>
  </si>
  <si>
    <t>https://kursuskatalog.au.dk/da/course/141569/Turbomachinery</t>
  </si>
  <si>
    <t>Varmetransmission</t>
  </si>
  <si>
    <t>Fremstillingsprocesser</t>
  </si>
  <si>
    <t>Obligatory</t>
  </si>
  <si>
    <t>290221U002</t>
  </si>
  <si>
    <t>N/A</t>
  </si>
  <si>
    <t>Pourya Forooghi</t>
  </si>
  <si>
    <t>Halv-opgave, halv lecture</t>
  </si>
  <si>
    <t>Tir 8-12</t>
  </si>
  <si>
    <t>https://kursuskatalog.au.dk/da/course/142123/Varmetransmission</t>
  </si>
  <si>
    <t>290221U001</t>
  </si>
  <si>
    <t>Jinghao Li</t>
  </si>
  <si>
    <t>3 Opgaver undervejs</t>
  </si>
  <si>
    <t>https://kursuskatalog.au.dk/da/course/142122/Fremstillingsprocesser</t>
  </si>
  <si>
    <t>290252U030</t>
  </si>
  <si>
    <t>Mechatronics</t>
  </si>
  <si>
    <t>Rassoul Tabassian</t>
  </si>
  <si>
    <t>2-4 HW sets</t>
  </si>
  <si>
    <t>https://kursuskatalog.au.dk/da/course/142446/Mechatronics</t>
  </si>
  <si>
    <t>Finite Element Method</t>
  </si>
  <si>
    <t>290252U031</t>
  </si>
  <si>
    <t>Take-home</t>
  </si>
  <si>
    <t>Matteo Pezzula</t>
  </si>
  <si>
    <t>Fre 8-12</t>
  </si>
  <si>
    <t>Man 12-16</t>
  </si>
  <si>
    <t>https://kursuskatalog.au.dk/da/course/142447/Finite-Element-Method</t>
  </si>
  <si>
    <t>290252U023</t>
  </si>
  <si>
    <t>Computational Dynamics</t>
  </si>
  <si>
    <t>Ole Balling</t>
  </si>
  <si>
    <t>Ons 8-12, Fre 12-16</t>
  </si>
  <si>
    <t>https://kursuskatalog.au.dk/da/course/141599/Computational-Dynamics</t>
  </si>
  <si>
    <t>290241U001</t>
  </si>
  <si>
    <t>Udviklingsprojekt i Mekanik</t>
  </si>
  <si>
    <t>Lars Erik Bräuner</t>
  </si>
  <si>
    <t>https://kursuskatalog.au.dk/da/course/142134/Udviklingsprojekt-i-mekanik</t>
  </si>
  <si>
    <t>MTAPPCFD-01</t>
  </si>
  <si>
    <t>Anvendt CFD</t>
  </si>
  <si>
    <t>Martin Nielsen</t>
  </si>
  <si>
    <t>Tir 8-10, Fre 10-12</t>
  </si>
  <si>
    <t>MTETS-01</t>
  </si>
  <si>
    <t>Energitekniske Systemer</t>
  </si>
  <si>
    <t>Jens Møller Andersen</t>
  </si>
  <si>
    <t>Ons 8-12</t>
  </si>
  <si>
    <t>https://kursuskatalog.au.dk/da/course/142079/MTETS-01-Energitekniske-systemer</t>
  </si>
  <si>
    <t>https://kursuskatalog.au.dk/da/course/142103/MTAPPCFD-01-Anvendt-CFD</t>
  </si>
  <si>
    <t>MTTRA1-02</t>
  </si>
  <si>
    <t>Køle- og klimateknik</t>
  </si>
  <si>
    <t>Mugisa Yahaya Kano</t>
  </si>
  <si>
    <t>Man 12-14, Tor 12-14</t>
  </si>
  <si>
    <t>https://kursuskatalog.au.dk/da/course/142072/MTTRA1-02-Koele-og-klimateknik</t>
  </si>
  <si>
    <t>MTMEC-02</t>
  </si>
  <si>
    <t>Introduction to Mechatronics</t>
  </si>
  <si>
    <t>Claus Melvad</t>
  </si>
  <si>
    <t>Man 12-16, Tor 12-16</t>
  </si>
  <si>
    <t>https://kursuskatalog.au.dk/da/course/142095/MTMEC-02-Introduction-to-Mechatronics</t>
  </si>
  <si>
    <t>MTAAI-01</t>
  </si>
  <si>
    <t>Anvendt AI for ingeniører</t>
  </si>
  <si>
    <t>https://kursuskatalog.au.dk/da/course/142140/MTAAI-01-Anvendt-AI-for-ingenioerer</t>
  </si>
  <si>
    <t>MTENT-01</t>
  </si>
  <si>
    <t>Entreprenørskab for ingeniører</t>
  </si>
  <si>
    <t>Mia Louise Justesen</t>
  </si>
  <si>
    <t>Ons 12-16</t>
  </si>
  <si>
    <t>https://kursuskatalog.au.dk/da/course/142120/MTENT-01-Entreprenoerskab-for-ingenioerer</t>
  </si>
  <si>
    <t>M3FEM1-03</t>
  </si>
  <si>
    <t>Finite Element og mekanisme analyse</t>
  </si>
  <si>
    <t>Peter Munch Knudsen</t>
  </si>
  <si>
    <t>Tir 10-12, Ons 12-14</t>
  </si>
  <si>
    <t>https://kursuskatalog.au.dk/da/course/142085/M3FEM1-03-Finite-Element-og-mekanisme-analyse</t>
  </si>
  <si>
    <t>MTADVFEM-01</t>
  </si>
  <si>
    <t>Avanceret FEM</t>
  </si>
  <si>
    <t>Tir 10-12, Fre 8-10</t>
  </si>
  <si>
    <t>https://kursuskatalog.au.dk/da/course/142102/MTADVFEM-01-Avanceret-FEM</t>
  </si>
  <si>
    <t>MTKMA1-02</t>
  </si>
  <si>
    <t>Kompositmaterialer</t>
  </si>
  <si>
    <t>Thomas Greve</t>
  </si>
  <si>
    <t>Tir 14-16, Tor 8-10</t>
  </si>
  <si>
    <t>https://kursuskatalog.au.dk/da/course/142093/MTKMA1-02-Kompositmaterialer</t>
  </si>
  <si>
    <t>MTPLA1-01</t>
  </si>
  <si>
    <t>Plastteknologi</t>
  </si>
  <si>
    <t>Carsten Bloch</t>
  </si>
  <si>
    <t>Man 10-12, Tor 10-12</t>
  </si>
  <si>
    <t>https://kursuskatalog.au.dk/da/course/142148/MTPLA1-01-Plastteknologi</t>
  </si>
  <si>
    <t>MTSTK1-01</t>
  </si>
  <si>
    <t>Stålkonstruktioner</t>
  </si>
  <si>
    <t>Morten Fogtmann Kristiansen</t>
  </si>
  <si>
    <t>Man 8-10, Tor-10-12</t>
  </si>
  <si>
    <t>https://kursuskatalog.au.dk/da/course/142147/MTSTK1-01-Staalkonstruktioner</t>
  </si>
  <si>
    <t>Elective Course Status</t>
  </si>
  <si>
    <t>Use the Courses sheet as the source of truth. Set Status = Chosen to include a course in the main ECTS count.</t>
  </si>
  <si>
    <t>Planning Summary</t>
  </si>
  <si>
    <t>By Status</t>
  </si>
  <si>
    <t>Target elective ECTS</t>
  </si>
  <si>
    <t>Courses</t>
  </si>
  <si>
    <t>Chosen ECTS</t>
  </si>
  <si>
    <t>Missing ECTS</t>
  </si>
  <si>
    <t>Shortlist ECTS</t>
  </si>
  <si>
    <t>Backup ECTS</t>
  </si>
  <si>
    <t>Selected courses</t>
  </si>
  <si>
    <t>ECTS by Level</t>
  </si>
  <si>
    <t>ECTS by Semester</t>
  </si>
  <si>
    <t>% of chosen</t>
  </si>
  <si>
    <t>BEng</t>
  </si>
  <si>
    <t>Unknown</t>
  </si>
  <si>
    <t>F29</t>
  </si>
  <si>
    <t>E29</t>
  </si>
  <si>
    <t>ECTS by Study Line</t>
  </si>
  <si>
    <t>Course Quality Checks</t>
  </si>
  <si>
    <t>Check</t>
  </si>
  <si>
    <t>Count</t>
  </si>
  <si>
    <t>Exact exam date conflicts</t>
  </si>
  <si>
    <t>AI / Digital</t>
  </si>
  <si>
    <t>Other</t>
  </si>
  <si>
    <t>Chosen Courses</t>
  </si>
  <si>
    <t>Priority</t>
  </si>
  <si>
    <t>Chosen or Obligatory ECTS</t>
  </si>
  <si>
    <t>Total</t>
  </si>
  <si>
    <t>Shortlisted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</si>
</sst>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\-yy;@"/>
    <numFmt numFmtId="172" formatCode="yyyy\-mm\-dd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20"/>
      <color rgb="FF1F2937"/>
      <name val="Aptos Display"/>
    </font>
    <font>
      <sz val="10"/>
      <color rgb="FF4B5563"/>
      <name val="Aptos"/>
    </font>
    <font>
      <sz val="10"/>
      <color theme="1"/>
      <name val="Aptos"/>
    </font>
    <font>
      <b/>
      <sz val="10"/>
      <color rgb="FF1F2937"/>
      <name val="Aptos"/>
    </font>
    <font>
      <b/>
      <sz val="12"/>
      <color theme="1"/>
      <name val="Aptos"/>
    </font>
    <font>
      <b/>
      <sz val="10"/>
      <color theme="0"/>
      <name val="Aptos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E8F1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66" fontId="0" fillId="0" borderId="0" xfId="0" applyNumberFormat="1"/>
    <xf numFmtId="0" fontId="2" fillId="0" borderId="0" xfId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3" borderId="0" xfId="0" applyFont="1" applyFill="1"/>
    <xf numFmtId="1" fontId="7" fillId="4" borderId="0" xfId="0" applyNumberFormat="1" applyFont="1" applyFill="1"/>
    <xf numFmtId="0" fontId="6" fillId="0" borderId="0" xfId="0" applyFont="1"/>
    <xf numFmtId="1" fontId="5" fillId="0" borderId="0" xfId="0" applyNumberFormat="1" applyFont="1"/>
    <xf numFmtId="9" fontId="5" fillId="0" borderId="0" xfId="0" applyNumberFormat="1" applyFont="1"/>
    <xf numFmtId="1" fontId="6" fillId="3" borderId="0" xfId="0" applyNumberFormat="1" applyFont="1" applyFill="1"/>
    <xf numFmtId="9" fontId="6" fillId="3" borderId="0" xfId="0" applyNumberFormat="1" applyFont="1" applyFill="1"/>
    <xf numFmtId="1" fontId="6" fillId="0" borderId="0" xfId="0" applyNumberFormat="1" applyFont="1"/>
    <xf numFmtId="9" fontId="6" fillId="0" borderId="0" xfId="0" applyNumberFormat="1" applyFont="1"/>
    <xf numFmtId="0" fontId="8" fillId="2" borderId="0" xfId="0" applyFont="1" applyFill="1"/>
    <xf numFmtId="172" fontId="5" fillId="0" borderId="0" xfId="0" applyNumberFormat="1" applyFont="1"/>
    <xf numFmtId="0" fontId="9" fillId="0" borderId="0" xfId="0" applyFont="1"/>
  </cellXfs>
  <cellStyles count="2">
    <cellStyle name="Link" xfId="1" builtinId="8"/>
    <cellStyle name="Normal" xfId="0" builtinId="0"/>
  </cellStyles>
  <dxfs count="4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numFmt numFmtId="166" formatCode="dd\-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1579D-6E2B-1547-B2DD-F7B653C26591}" name="Tabel1" displayName="Tabel1" ref="A3:Q22" totalsRowShown="0">
  <autoFilter ref="A3:Q22" xr:uid="{F6B1579D-6E2B-1547-B2DD-F7B653C26591}"/>
  <sortState xmlns:xlrd2="http://schemas.microsoft.com/office/spreadsheetml/2017/richdata2" ref="A4:Q22">
    <sortCondition descending="1" ref="D3:D22"/>
  </sortState>
  <tableColumns count="17">
    <tableColumn id="1" xr3:uid="{2F76D4CA-D84F-404C-BBF5-23B0BDC2E3A9}" name="Status"/>
    <tableColumn id="2" xr3:uid="{53C0AC59-ECBF-7D4D-A1C0-AFA087B47452}" name="Course Code"/>
    <tableColumn id="3" xr3:uid="{C311381D-8C40-7447-9C85-09DD8C06C529}" name="Course Name"/>
    <tableColumn id="4" xr3:uid="{E0B94640-4BA6-6843-A084-3ADE0A4F75AB}" name="ECTS"/>
    <tableColumn id="5" xr3:uid="{B7F3783E-BFAA-9F4F-95FB-DF7C7AAC7C07}" name="Level"/>
    <tableColumn id="6" xr3:uid="{6742974A-608C-AC45-9B40-B549CE3BA838}" name="Study-Line"/>
    <tableColumn id="7" xr3:uid="{922D39CC-4C46-4244-87E2-20103A33BB64}" name="Semester"/>
    <tableColumn id="8" xr3:uid="{76987D2B-E5C9-FA4F-A8DD-29D4CC35EFE1}" name="Exam Form"/>
    <tableColumn id="9" xr3:uid="{B5BE0CCC-DE17-3941-AE82-E3C0341CF521}" name="Study Form"/>
    <tableColumn id="10" xr3:uid="{45DAB12C-BB50-C040-A958-54C4E8EC2F96}" name="Teacher"/>
    <tableColumn id="11" xr3:uid="{D0DE4F1E-4ADD-6541-B054-3EF86376EEFE}" name="Class Time"/>
    <tableColumn id="12" xr3:uid="{F6C62D77-5C3B-8C4F-97FB-23C8A1FC574B}" name="Exam Date" dataDxfId="3"/>
    <tableColumn id="13" xr3:uid="{D74A32F4-DFFD-CC48-8133-6C034DC942EF}" name="Interest (1-5)"/>
    <tableColumn id="14" xr3:uid="{D0E8D483-31E1-8648-8809-3C8544D5559A}" name="Usefulness (1-5)"/>
    <tableColumn id="15" xr3:uid="{311DE2F8-6BD1-B347-89E2-D4A584FCEB8D}" name="Workload (1-5)"/>
    <tableColumn id="16" xr3:uid="{9B276D6C-2389-1647-9BBE-5FA4767FCC4E}" name="Notes"/>
    <tableColumn id="17" xr3:uid="{612A3A4E-3F94-B34B-932A-96825EDB2BE0}" name="Link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ursuskatalog.au.dk/da/course/142120/MTENT-01-Entreprenoerskab-for-ingenioerer" TargetMode="External"/><Relationship Id="rId13" Type="http://schemas.openxmlformats.org/officeDocument/2006/relationships/hyperlink" Target="https://kursuskatalog.au.dk/da/course/141599/Computational-Dynamics" TargetMode="External"/><Relationship Id="rId3" Type="http://schemas.openxmlformats.org/officeDocument/2006/relationships/hyperlink" Target="https://kursuskatalog.au.dk/da/course/142079/MTETS-01-Energitekniske-systemer" TargetMode="External"/><Relationship Id="rId7" Type="http://schemas.openxmlformats.org/officeDocument/2006/relationships/hyperlink" Target="https://kursuskatalog.au.dk/da/course/142140/MTAAI-01-Anvendt-AI-for-ingenioerer" TargetMode="External"/><Relationship Id="rId12" Type="http://schemas.openxmlformats.org/officeDocument/2006/relationships/hyperlink" Target="https://kursuskatalog.au.dk/da/course/142148/MTPLA1-01-Plastteknologi" TargetMode="External"/><Relationship Id="rId2" Type="http://schemas.openxmlformats.org/officeDocument/2006/relationships/hyperlink" Target="https://kursuskatalog.au.dk/da/course/142447/Finite-Element-Method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kursuskatalog.au.dk/da/course/142123/Varmetransmission" TargetMode="External"/><Relationship Id="rId6" Type="http://schemas.openxmlformats.org/officeDocument/2006/relationships/hyperlink" Target="https://kursuskatalog.au.dk/da/course/142095/MTMEC-02-Introduction-to-Mechatronics" TargetMode="External"/><Relationship Id="rId11" Type="http://schemas.openxmlformats.org/officeDocument/2006/relationships/hyperlink" Target="https://kursuskatalog.au.dk/da/course/142093/MTKMA1-02-Kompositmaterialer" TargetMode="External"/><Relationship Id="rId5" Type="http://schemas.openxmlformats.org/officeDocument/2006/relationships/hyperlink" Target="https://kursuskatalog.au.dk/da/course/142072/MTTRA1-02-Koele-og-klimateknik" TargetMode="External"/><Relationship Id="rId15" Type="http://schemas.openxmlformats.org/officeDocument/2006/relationships/hyperlink" Target="https://kursuskatalog.au.dk/da/course/142147/MTSTK1-01-Staalkonstruktioner" TargetMode="External"/><Relationship Id="rId10" Type="http://schemas.openxmlformats.org/officeDocument/2006/relationships/hyperlink" Target="https://kursuskatalog.au.dk/da/course/142102/MTADVFEM-01-Avanceret-FEM" TargetMode="External"/><Relationship Id="rId4" Type="http://schemas.openxmlformats.org/officeDocument/2006/relationships/hyperlink" Target="https://kursuskatalog.au.dk/da/course/142103/MTAPPCFD-01-Anvendt-CFD" TargetMode="External"/><Relationship Id="rId9" Type="http://schemas.openxmlformats.org/officeDocument/2006/relationships/hyperlink" Target="https://kursuskatalog.au.dk/da/course/142085/M3FEM1-03-Finite-Element-og-mekanisme-analyse" TargetMode="External"/><Relationship Id="rId14" Type="http://schemas.openxmlformats.org/officeDocument/2006/relationships/hyperlink" Target="https://kursuskatalog.au.dk/da/course/142143/Fluids-Engineering-and-Turbul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CC1F-4ED6-BA4E-AE1A-D9FB0C2CC953}">
  <dimension ref="A1:AP178"/>
  <sheetViews>
    <sheetView topLeftCell="A26" zoomScale="112" workbookViewId="0">
      <selection activeCell="G42" sqref="G42"/>
    </sheetView>
  </sheetViews>
  <sheetFormatPr baseColWidth="10" defaultColWidth="8.83203125" defaultRowHeight="16" x14ac:dyDescent="0.2"/>
  <cols>
    <col min="1" max="1" width="28" customWidth="1"/>
    <col min="2" max="2" width="21" bestFit="1" customWidth="1"/>
    <col min="3" max="3" width="13" customWidth="1"/>
    <col min="4" max="4" width="4" customWidth="1"/>
    <col min="5" max="5" width="28" customWidth="1"/>
    <col min="6" max="6" width="14" customWidth="1"/>
    <col min="7" max="7" width="16" customWidth="1"/>
    <col min="8" max="8" width="12" customWidth="1"/>
    <col min="11" max="11" width="17" bestFit="1" customWidth="1"/>
    <col min="12" max="12" width="26.83203125" bestFit="1" customWidth="1"/>
    <col min="13" max="13" width="7.83203125" customWidth="1"/>
    <col min="14" max="14" width="5.5" customWidth="1"/>
    <col min="16" max="16" width="9.83203125" bestFit="1" customWidth="1"/>
    <col min="17" max="17" width="9.6640625" bestFit="1" customWidth="1"/>
    <col min="18" max="18" width="7" bestFit="1" customWidth="1"/>
  </cols>
  <sheetData>
    <row r="1" spans="1:8" ht="40" customHeight="1" x14ac:dyDescent="0.3">
      <c r="A1" s="4" t="s">
        <v>144</v>
      </c>
      <c r="B1" s="4"/>
      <c r="C1" s="4"/>
      <c r="D1" s="4"/>
      <c r="E1" s="4"/>
      <c r="F1" s="4"/>
      <c r="G1" s="4"/>
      <c r="H1" s="4"/>
    </row>
    <row r="2" spans="1:8" ht="40" customHeight="1" x14ac:dyDescent="0.2">
      <c r="A2" s="5" t="s">
        <v>145</v>
      </c>
      <c r="B2" s="5"/>
      <c r="C2" s="5"/>
      <c r="D2" s="5"/>
      <c r="E2" s="5"/>
      <c r="F2" s="5"/>
      <c r="G2" s="5"/>
      <c r="H2" s="5"/>
    </row>
    <row r="3" spans="1:8" ht="26.75" customHeight="1" x14ac:dyDescent="0.2">
      <c r="A3" s="6"/>
      <c r="B3" s="6"/>
      <c r="C3" s="6"/>
      <c r="D3" s="6"/>
      <c r="E3" s="6"/>
      <c r="F3" s="6"/>
      <c r="G3" s="6"/>
      <c r="H3" s="6"/>
    </row>
    <row r="4" spans="1:8" ht="26.75" customHeight="1" x14ac:dyDescent="0.2">
      <c r="A4" s="7" t="s">
        <v>146</v>
      </c>
      <c r="B4" s="7"/>
      <c r="C4" s="6"/>
      <c r="D4" s="6"/>
      <c r="E4" s="7" t="s">
        <v>147</v>
      </c>
      <c r="F4" s="7"/>
      <c r="G4" s="7"/>
      <c r="H4" s="6"/>
    </row>
    <row r="5" spans="1:8" ht="26.75" customHeight="1" x14ac:dyDescent="0.2">
      <c r="A5" s="6" t="s">
        <v>148</v>
      </c>
      <c r="B5" s="8">
        <v>30</v>
      </c>
      <c r="C5" s="6"/>
      <c r="D5" s="6"/>
      <c r="E5" s="6" t="s">
        <v>16</v>
      </c>
      <c r="F5" s="6" t="s">
        <v>149</v>
      </c>
      <c r="G5" s="6" t="s">
        <v>2</v>
      </c>
      <c r="H5" s="6"/>
    </row>
    <row r="6" spans="1:8" ht="26.75" customHeight="1" x14ac:dyDescent="0.2">
      <c r="A6" s="6" t="s">
        <v>171</v>
      </c>
      <c r="B6" s="8" cm="1">
        <f t="array" ref="B6">SUM(SUMIF(Courses!$A$4:$A$200,{"Chosen";"Obligatory"},Courses!$D$4:$D$200))</f>
        <v>30</v>
      </c>
      <c r="C6" s="6"/>
      <c r="D6" s="6"/>
      <c r="E6" s="6" t="s">
        <v>17</v>
      </c>
      <c r="F6" s="6">
        <f>COUNTIF(Courses!$A$4:$A$200,E6)</f>
        <v>2</v>
      </c>
      <c r="G6" s="6">
        <f>SUMIF(Courses!$A$4:$A$200,E6,Courses!$D$4:$D$200)</f>
        <v>10</v>
      </c>
      <c r="H6" s="6"/>
    </row>
    <row r="7" spans="1:8" ht="26.75" customHeight="1" x14ac:dyDescent="0.2">
      <c r="A7" s="6" t="s">
        <v>151</v>
      </c>
      <c r="B7" s="8">
        <f>MAX(0,$B$5-$B$6)</f>
        <v>0</v>
      </c>
      <c r="C7" s="6"/>
      <c r="D7" s="6"/>
      <c r="E7" s="6" t="s">
        <v>18</v>
      </c>
      <c r="F7" s="6">
        <f>COUNTIF(Courses!$A$4:$A$200,E7)</f>
        <v>0</v>
      </c>
      <c r="G7" s="6">
        <f>SUMIF(Courses!$A$4:$A$200,E7,Courses!$D$4:$D$200)</f>
        <v>0</v>
      </c>
      <c r="H7" s="6"/>
    </row>
    <row r="8" spans="1:8" ht="26.75" customHeight="1" x14ac:dyDescent="0.2">
      <c r="A8" s="6" t="s">
        <v>152</v>
      </c>
      <c r="B8" s="8">
        <f>SUMIF(Courses!$A$4:$A$200,"Shortlist",Courses!$D$4:$D$200)</f>
        <v>0</v>
      </c>
      <c r="C8" s="6"/>
      <c r="D8" s="6"/>
      <c r="E8" s="6" t="s">
        <v>19</v>
      </c>
      <c r="F8" s="6">
        <f>COUNTIF(Courses!$A$4:$A$200,E8)</f>
        <v>3</v>
      </c>
      <c r="G8" s="6">
        <f>SUMIF(Courses!$A$4:$A$200,E8,Courses!$D$4:$D$200)</f>
        <v>20</v>
      </c>
      <c r="H8" s="6"/>
    </row>
    <row r="9" spans="1:8" ht="26.75" customHeight="1" x14ac:dyDescent="0.2">
      <c r="A9" s="6" t="s">
        <v>153</v>
      </c>
      <c r="B9" s="8">
        <f>SUMIF(Courses!$A$4:$A$200,"Backup",Courses!$D$4:$D$200)</f>
        <v>25</v>
      </c>
      <c r="C9" s="6"/>
      <c r="D9" s="6"/>
      <c r="E9" s="6" t="s">
        <v>60</v>
      </c>
      <c r="F9" s="6">
        <f>COUNTIF(Courses!$A$4:$A$200,E9)</f>
        <v>2</v>
      </c>
      <c r="G9" s="6">
        <f>SUMIF(Courses!$A$4:$A$200,E9,Courses!$D$4:$D$200)</f>
        <v>10</v>
      </c>
      <c r="H9" s="6"/>
    </row>
    <row r="10" spans="1:8" ht="26.75" customHeight="1" x14ac:dyDescent="0.2">
      <c r="A10" s="6" t="s">
        <v>154</v>
      </c>
      <c r="B10" s="8" cm="1">
        <f t="array" ref="B10">SUM(COUNTIF(Courses!$A$4:$A$200,{"Chosen";"Obligatory"}))</f>
        <v>5</v>
      </c>
      <c r="C10" s="6"/>
      <c r="D10" s="6"/>
      <c r="E10" s="6" t="s">
        <v>20</v>
      </c>
      <c r="F10" s="6">
        <f>COUNTIF(Courses!$A$4:$A$200,E10)</f>
        <v>4</v>
      </c>
      <c r="G10" s="6">
        <f>SUMIF(Courses!$A$4:$A$200,E10,Courses!$D$4:$D$200)</f>
        <v>25</v>
      </c>
      <c r="H10" s="6"/>
    </row>
    <row r="11" spans="1:8" ht="26.75" customHeight="1" x14ac:dyDescent="0.2">
      <c r="A11" s="6"/>
      <c r="B11" s="6"/>
      <c r="C11" s="6"/>
      <c r="D11" s="6"/>
      <c r="E11" s="6" t="s">
        <v>172</v>
      </c>
      <c r="F11" s="6">
        <f>SUM(F6:F10)</f>
        <v>11</v>
      </c>
      <c r="G11" s="6">
        <f>SUM(G6:G10)</f>
        <v>65</v>
      </c>
      <c r="H11" s="6"/>
    </row>
    <row r="12" spans="1:8" ht="26.75" customHeight="1" x14ac:dyDescent="0.2">
      <c r="A12" s="6"/>
      <c r="B12" s="6"/>
      <c r="C12" s="6"/>
      <c r="D12" s="6"/>
      <c r="E12" s="6"/>
      <c r="F12" s="6"/>
      <c r="G12" s="6"/>
      <c r="H12" s="6"/>
    </row>
    <row r="13" spans="1:8" ht="26.75" customHeight="1" x14ac:dyDescent="0.2">
      <c r="A13" s="7" t="s">
        <v>155</v>
      </c>
      <c r="B13" s="7"/>
      <c r="C13" s="7"/>
      <c r="D13" s="6"/>
      <c r="E13" s="7" t="s">
        <v>156</v>
      </c>
      <c r="F13" s="7"/>
      <c r="G13" s="7"/>
      <c r="H13" s="6"/>
    </row>
    <row r="14" spans="1:8" ht="26.75" customHeight="1" x14ac:dyDescent="0.2">
      <c r="A14" s="9" t="s">
        <v>3</v>
      </c>
      <c r="B14" s="9" t="s">
        <v>150</v>
      </c>
      <c r="C14" s="9" t="s">
        <v>157</v>
      </c>
      <c r="D14" s="6"/>
      <c r="E14" s="9" t="s">
        <v>5</v>
      </c>
      <c r="F14" s="9" t="s">
        <v>150</v>
      </c>
      <c r="G14" s="9" t="s">
        <v>157</v>
      </c>
      <c r="H14" s="6"/>
    </row>
    <row r="15" spans="1:8" ht="26.75" customHeight="1" x14ac:dyDescent="0.2">
      <c r="A15" s="6" t="s">
        <v>22</v>
      </c>
      <c r="B15" s="10" cm="1">
        <f t="array" ref="B15">SUM(SUMIFS(Courses!$D$4:$D$200,Courses!$A$4:$A$200,{"Chosen";"Obligatory"},Courses!$E$4:$E$200,A15))</f>
        <v>20</v>
      </c>
      <c r="C15" s="11">
        <f t="shared" ref="C15:C20" si="0">IF($B$6=0,0,B15/$B$6)</f>
        <v>0.66666666666666663</v>
      </c>
      <c r="D15" s="6"/>
      <c r="E15" s="6" t="s">
        <v>27</v>
      </c>
      <c r="F15" s="10" cm="1">
        <f t="array" ref="F15">SUM(SUMIFS(Courses!$D$4:$D$200,Courses!$A$4:$A$200,{"Chosen";"Obligatory"},Courses!$G$4:$G$200,E15))</f>
        <v>30</v>
      </c>
      <c r="G15" s="11">
        <f t="shared" ref="G15:G21" si="1">IF($B$6=0,0,F15/$B$6)</f>
        <v>1</v>
      </c>
      <c r="H15" s="6"/>
    </row>
    <row r="16" spans="1:8" ht="26.75" customHeight="1" x14ac:dyDescent="0.2">
      <c r="A16" s="6" t="s">
        <v>158</v>
      </c>
      <c r="B16" s="10" cm="1">
        <f t="array" ref="B16">SUM(SUMIFS(Courses!$D$4:$D$200,Courses!$A$4:$A$200,{"Chosen";"Obligatory"},Courses!$E$4:$E$200,A16))</f>
        <v>10</v>
      </c>
      <c r="C16" s="11">
        <f t="shared" si="0"/>
        <v>0.33333333333333331</v>
      </c>
      <c r="D16" s="6"/>
      <c r="E16" s="6" t="s">
        <v>28</v>
      </c>
      <c r="F16" s="10" cm="1">
        <f t="array" ref="F16">SUM(SUMIFS(Courses!$D$4:$D$200,Courses!$A$4:$A$200,{"Chosen";"Obligatory"},Courses!$G$4:$G$200,E16))</f>
        <v>0</v>
      </c>
      <c r="G16" s="11">
        <f t="shared" si="1"/>
        <v>0</v>
      </c>
      <c r="H16" s="6"/>
    </row>
    <row r="17" spans="1:8" ht="26.75" customHeight="1" x14ac:dyDescent="0.2">
      <c r="A17" s="6" t="s">
        <v>24</v>
      </c>
      <c r="B17" s="10" cm="1">
        <f t="array" ref="B17">SUM(SUMIFS(Courses!$D$4:$D$200,Courses!$A$4:$A$200,{"Chosen";"Obligatory"},Courses!$E$4:$E$200,A17))</f>
        <v>0</v>
      </c>
      <c r="C17" s="11">
        <f t="shared" si="0"/>
        <v>0</v>
      </c>
      <c r="D17" s="6"/>
      <c r="E17" s="6" t="s">
        <v>29</v>
      </c>
      <c r="F17" s="10" cm="1">
        <f t="array" ref="F17">SUM(SUMIFS(Courses!$D$4:$D$200,Courses!$A$4:$A$200,{"Chosen";"Obligatory"},Courses!$G$4:$G$200,E17))</f>
        <v>0</v>
      </c>
      <c r="G17" s="11">
        <f t="shared" si="1"/>
        <v>0</v>
      </c>
      <c r="H17" s="6"/>
    </row>
    <row r="18" spans="1:8" ht="26.75" customHeight="1" x14ac:dyDescent="0.2">
      <c r="A18" s="6" t="s">
        <v>25</v>
      </c>
      <c r="B18" s="10" cm="1">
        <f t="array" ref="B18">SUM(SUMIFS(Courses!$D$4:$D$200,Courses!$A$4:$A$200,{"Chosen";"Obligatory"},Courses!$E$4:$E$200,A18))</f>
        <v>0</v>
      </c>
      <c r="C18" s="11">
        <f t="shared" si="0"/>
        <v>0</v>
      </c>
      <c r="D18" s="6"/>
      <c r="E18" s="6" t="s">
        <v>30</v>
      </c>
      <c r="F18" s="10" cm="1">
        <f t="array" ref="F18">SUM(SUMIFS(Courses!$D$4:$D$200,Courses!$A$4:$A$200,{"Chosen";"Obligatory"},Courses!$G$4:$G$200,E18))</f>
        <v>0</v>
      </c>
      <c r="G18" s="11">
        <f t="shared" si="1"/>
        <v>0</v>
      </c>
      <c r="H18" s="6"/>
    </row>
    <row r="19" spans="1:8" ht="26.75" customHeight="1" x14ac:dyDescent="0.2">
      <c r="A19" s="6" t="s">
        <v>26</v>
      </c>
      <c r="B19" s="10" cm="1">
        <f t="array" ref="B19">SUM(SUMIFS(Courses!$D$4:$D$200,Courses!$A$4:$A$200,{"Chosen";"Obligatory"},Courses!$E$4:$E$200,A19))</f>
        <v>0</v>
      </c>
      <c r="C19" s="11">
        <f t="shared" si="0"/>
        <v>0</v>
      </c>
      <c r="D19" s="6"/>
      <c r="E19" s="6" t="s">
        <v>31</v>
      </c>
      <c r="F19" s="10" cm="1">
        <f t="array" ref="F19">SUM(SUMIFS(Courses!$D$4:$D$200,Courses!$A$4:$A$200,{"Chosen";"Obligatory"},Courses!$G$4:$G$200,E19))</f>
        <v>0</v>
      </c>
      <c r="G19" s="11">
        <f t="shared" si="1"/>
        <v>0</v>
      </c>
      <c r="H19" s="6"/>
    </row>
    <row r="20" spans="1:8" ht="26.75" customHeight="1" x14ac:dyDescent="0.2">
      <c r="A20" s="6" t="s">
        <v>159</v>
      </c>
      <c r="B20" s="10" cm="1">
        <f t="array" ref="B20">SUM(SUMIFS(Courses!$D$4:$D$200,Courses!$A$4:$A$200,{"Chosen";"Obligatory"},Courses!$E$4:$E$200,A20))</f>
        <v>0</v>
      </c>
      <c r="C20" s="11">
        <f t="shared" si="0"/>
        <v>0</v>
      </c>
      <c r="D20" s="6"/>
      <c r="E20" s="6" t="s">
        <v>160</v>
      </c>
      <c r="F20" s="10" cm="1">
        <f t="array" ref="F20">SUM(SUMIFS(Courses!$D$4:$D$200,Courses!$A$4:$A$200,{"Chosen";"Obligatory"},Courses!$G$4:$G$200,E20))</f>
        <v>0</v>
      </c>
      <c r="G20" s="11">
        <f t="shared" si="1"/>
        <v>0</v>
      </c>
      <c r="H20" s="6"/>
    </row>
    <row r="21" spans="1:8" ht="26.75" customHeight="1" x14ac:dyDescent="0.2">
      <c r="A21" s="6"/>
      <c r="B21" s="10"/>
      <c r="C21" s="11"/>
      <c r="D21" s="6"/>
      <c r="E21" s="6" t="s">
        <v>161</v>
      </c>
      <c r="F21" s="10" cm="1">
        <f t="array" ref="F21">SUM(SUMIFS(Courses!$D$4:$D$200,Courses!$A$4:$A$200,{"Chosen";"Obligatory"},Courses!$G$4:$G$200,E21))</f>
        <v>0</v>
      </c>
      <c r="G21" s="11">
        <f t="shared" si="1"/>
        <v>0</v>
      </c>
      <c r="H21" s="6"/>
    </row>
    <row r="22" spans="1:8" ht="26.75" customHeight="1" x14ac:dyDescent="0.2">
      <c r="A22" s="6"/>
      <c r="B22" s="10"/>
      <c r="C22" s="11"/>
      <c r="D22" s="6"/>
      <c r="E22" s="6"/>
      <c r="F22" s="6"/>
      <c r="G22" s="6"/>
      <c r="H22" s="6"/>
    </row>
    <row r="23" spans="1:8" ht="26.75" customHeight="1" x14ac:dyDescent="0.2">
      <c r="A23" s="7" t="s">
        <v>162</v>
      </c>
      <c r="B23" s="12"/>
      <c r="C23" s="13"/>
      <c r="D23" s="6"/>
      <c r="E23" s="7" t="s">
        <v>163</v>
      </c>
      <c r="F23" s="7"/>
      <c r="G23" s="6"/>
      <c r="H23" s="6"/>
    </row>
    <row r="24" spans="1:8" ht="26.75" customHeight="1" x14ac:dyDescent="0.2">
      <c r="A24" s="9" t="s">
        <v>38</v>
      </c>
      <c r="B24" s="14" t="s">
        <v>150</v>
      </c>
      <c r="C24" s="15" t="s">
        <v>157</v>
      </c>
      <c r="D24" s="6"/>
      <c r="E24" s="9" t="s">
        <v>164</v>
      </c>
      <c r="F24" s="9" t="s">
        <v>165</v>
      </c>
      <c r="G24" s="6"/>
      <c r="H24" s="6"/>
    </row>
    <row r="25" spans="1:8" ht="26.75" customHeight="1" x14ac:dyDescent="0.2">
      <c r="A25" s="6" t="s">
        <v>44</v>
      </c>
      <c r="B25" s="10" cm="1">
        <f t="array" ref="B25">SUM(SUMIFS(Courses!$D$4:$D$200,Courses!$A$4:$A$200,{"Chosen";"Obligatory"},Courses!$F$4:$F$200,A25))</f>
        <v>0</v>
      </c>
      <c r="C25" s="11">
        <f t="shared" ref="C25:C34" si="2">IF($B$6=0,0,B25/$B$6)</f>
        <v>0</v>
      </c>
      <c r="D25" s="6"/>
      <c r="E25" s="6" t="s">
        <v>166</v>
      </c>
      <c r="F25" s="10">
        <f>COUNTIF(Courses!$U$4:$U$200,"Yes")</f>
        <v>0</v>
      </c>
      <c r="G25" s="6"/>
      <c r="H25" s="6"/>
    </row>
    <row r="26" spans="1:8" ht="26.75" customHeight="1" x14ac:dyDescent="0.2">
      <c r="A26" s="6" t="s">
        <v>45</v>
      </c>
      <c r="B26" s="10" cm="1">
        <f t="array" ref="B26">SUM(SUMIFS(Courses!$D$4:$D$200,Courses!$A$4:$A$200,{"Chosen";"Obligatory"},Courses!$F$4:$F$200,A26))</f>
        <v>0</v>
      </c>
      <c r="C26" s="11">
        <f t="shared" si="2"/>
        <v>0</v>
      </c>
      <c r="D26" s="6"/>
      <c r="E26" s="6"/>
      <c r="F26" s="10"/>
      <c r="G26" s="6"/>
      <c r="H26" s="6"/>
    </row>
    <row r="27" spans="1:8" ht="26.75" customHeight="1" x14ac:dyDescent="0.2">
      <c r="A27" s="6" t="s">
        <v>46</v>
      </c>
      <c r="B27" s="10" cm="1">
        <f t="array" ref="B27">SUM(SUMIFS(Courses!$D$4:$D$200,Courses!$A$4:$A$200,{"Chosen";"Obligatory"},Courses!$F$4:$F$200,A27))</f>
        <v>0</v>
      </c>
      <c r="C27" s="11">
        <f t="shared" si="2"/>
        <v>0</v>
      </c>
      <c r="D27" s="6"/>
      <c r="E27" s="6"/>
      <c r="F27" s="10"/>
      <c r="G27" s="6"/>
      <c r="H27" s="6"/>
    </row>
    <row r="28" spans="1:8" ht="26.75" customHeight="1" x14ac:dyDescent="0.2">
      <c r="A28" s="6" t="s">
        <v>47</v>
      </c>
      <c r="B28" s="10" cm="1">
        <f t="array" ref="B28">SUM(SUMIFS(Courses!$D$4:$D$200,Courses!$A$4:$A$200,{"Chosen";"Obligatory"},Courses!$F$4:$F$200,A28))</f>
        <v>0</v>
      </c>
      <c r="C28" s="11">
        <f t="shared" si="2"/>
        <v>0</v>
      </c>
      <c r="D28" s="6"/>
      <c r="E28" s="6"/>
      <c r="F28" s="10"/>
      <c r="G28" s="6"/>
      <c r="H28" s="6"/>
    </row>
    <row r="29" spans="1:8" ht="26.75" customHeight="1" x14ac:dyDescent="0.2">
      <c r="A29" s="6" t="s">
        <v>48</v>
      </c>
      <c r="B29" s="10" cm="1">
        <f t="array" ref="B29">SUM(SUMIFS(Courses!$D$4:$D$200,Courses!$A$4:$A$200,{"Chosen";"Obligatory"},Courses!$F$4:$F$200,A29))</f>
        <v>5</v>
      </c>
      <c r="C29" s="11">
        <f t="shared" si="2"/>
        <v>0.16666666666666666</v>
      </c>
      <c r="D29" s="6"/>
      <c r="E29" s="6"/>
      <c r="F29" s="6"/>
      <c r="G29" s="6"/>
      <c r="H29" s="6"/>
    </row>
    <row r="30" spans="1:8" ht="26.75" customHeight="1" x14ac:dyDescent="0.2">
      <c r="A30" s="6" t="s">
        <v>49</v>
      </c>
      <c r="B30" s="10" cm="1">
        <f t="array" ref="B30">SUM(SUMIFS(Courses!$D$4:$D$200,Courses!$A$4:$A$200,{"Chosen";"Obligatory"},Courses!$F$4:$F$200,A30))</f>
        <v>5</v>
      </c>
      <c r="C30" s="11">
        <f t="shared" si="2"/>
        <v>0.16666666666666666</v>
      </c>
      <c r="D30" s="6"/>
      <c r="E30" s="6"/>
      <c r="F30" s="6"/>
      <c r="G30" s="6"/>
      <c r="H30" s="6"/>
    </row>
    <row r="31" spans="1:8" ht="26.75" customHeight="1" x14ac:dyDescent="0.2">
      <c r="A31" s="6" t="s">
        <v>50</v>
      </c>
      <c r="B31" s="10" cm="1">
        <f t="array" ref="B31">SUM(SUMIFS(Courses!$D$4:$D$200,Courses!$A$4:$A$200,{"Chosen";"Obligatory"},Courses!$F$4:$F$200,A31))</f>
        <v>0</v>
      </c>
      <c r="C31" s="11">
        <f t="shared" si="2"/>
        <v>0</v>
      </c>
      <c r="D31" s="6"/>
      <c r="E31" s="6"/>
      <c r="F31" s="6"/>
      <c r="G31" s="6"/>
      <c r="H31" s="6"/>
    </row>
    <row r="32" spans="1:8" ht="26.75" customHeight="1" x14ac:dyDescent="0.2">
      <c r="A32" s="6" t="s">
        <v>51</v>
      </c>
      <c r="B32" s="10" cm="1">
        <f t="array" ref="B32">SUM(SUMIFS(Courses!$D$4:$D$200,Courses!$A$4:$A$200,{"Chosen";"Obligatory"},Courses!$F$4:$F$200,A32))</f>
        <v>0</v>
      </c>
      <c r="C32" s="11">
        <f t="shared" si="2"/>
        <v>0</v>
      </c>
      <c r="D32" s="6"/>
      <c r="E32" s="6"/>
      <c r="F32" s="6"/>
      <c r="G32" s="6"/>
      <c r="H32" s="6"/>
    </row>
    <row r="33" spans="1:42" ht="26.75" customHeight="1" x14ac:dyDescent="0.2">
      <c r="A33" s="6" t="s">
        <v>167</v>
      </c>
      <c r="B33" s="10" cm="1">
        <f t="array" ref="B33">SUM(SUMIFS(Courses!$D$4:$D$200,Courses!$A$4:$A$200,{"Chosen";"Obligatory"},Courses!$F$4:$F$200,A33))</f>
        <v>0</v>
      </c>
      <c r="C33" s="11">
        <f t="shared" si="2"/>
        <v>0</v>
      </c>
      <c r="D33" s="6"/>
      <c r="E33" s="6"/>
      <c r="F33" s="6"/>
      <c r="G33" s="6"/>
      <c r="H33" s="6"/>
    </row>
    <row r="34" spans="1:42" ht="26.75" customHeight="1" x14ac:dyDescent="0.2">
      <c r="A34" s="6" t="s">
        <v>168</v>
      </c>
      <c r="B34" s="10" cm="1">
        <f t="array" ref="B34">SUM(SUMIFS(Courses!$D$4:$D$200,Courses!$A$4:$A$200,{"Chosen";"Obligatory"},Courses!$F$4:$F$200,A34))</f>
        <v>0</v>
      </c>
      <c r="C34" s="11">
        <f t="shared" si="2"/>
        <v>0</v>
      </c>
      <c r="D34" s="6"/>
      <c r="E34" s="6"/>
      <c r="F34" s="6"/>
      <c r="G34" s="6"/>
      <c r="H34" s="6"/>
    </row>
    <row r="35" spans="1:42" ht="26.75" customHeight="1" x14ac:dyDescent="0.2">
      <c r="A35" s="6"/>
      <c r="B35" s="6"/>
      <c r="C35" s="6"/>
      <c r="D35" s="6"/>
      <c r="E35" s="6"/>
      <c r="F35" s="6"/>
      <c r="G35" s="6"/>
      <c r="H35" s="6"/>
    </row>
    <row r="36" spans="1:42" ht="26.75" customHeight="1" x14ac:dyDescent="0.2">
      <c r="A36" s="7" t="s">
        <v>169</v>
      </c>
      <c r="B36" s="7"/>
      <c r="C36" s="7"/>
      <c r="D36" s="7"/>
      <c r="E36" s="7"/>
      <c r="F36" s="7"/>
      <c r="G36" s="7"/>
      <c r="H36" s="7"/>
      <c r="K36" s="7" t="s">
        <v>173</v>
      </c>
      <c r="L36" s="7"/>
      <c r="M36" s="7"/>
      <c r="N36" s="7"/>
      <c r="O36" s="7"/>
      <c r="P36" s="7"/>
      <c r="Q36" s="7"/>
      <c r="R36" s="7"/>
    </row>
    <row r="37" spans="1:42" ht="26.75" customHeight="1" x14ac:dyDescent="0.2">
      <c r="A37" s="16" t="s">
        <v>0</v>
      </c>
      <c r="B37" s="16" t="s">
        <v>1</v>
      </c>
      <c r="C37" s="16" t="s">
        <v>2</v>
      </c>
      <c r="D37" s="16" t="s">
        <v>3</v>
      </c>
      <c r="E37" s="16" t="s">
        <v>5</v>
      </c>
      <c r="F37" s="16" t="s">
        <v>6</v>
      </c>
      <c r="G37" s="16" t="s">
        <v>10</v>
      </c>
      <c r="H37" s="16" t="s">
        <v>170</v>
      </c>
      <c r="K37" s="16" t="s">
        <v>0</v>
      </c>
      <c r="L37" s="16" t="s">
        <v>1</v>
      </c>
      <c r="M37" s="16" t="s">
        <v>2</v>
      </c>
      <c r="N37" s="16" t="s">
        <v>3</v>
      </c>
      <c r="O37" s="16" t="s">
        <v>5</v>
      </c>
      <c r="P37" s="16" t="s">
        <v>6</v>
      </c>
      <c r="Q37" s="16" t="s">
        <v>10</v>
      </c>
      <c r="R37" s="16" t="s">
        <v>170</v>
      </c>
    </row>
    <row r="38" spans="1:42" ht="26.75" customHeight="1" x14ac:dyDescent="0.2">
      <c r="A38" s="6" t="str" cm="1">
        <f t="array" ref="A38:H42">_xlfn._xlws.FILTER(_xlfn.CHOOSECOLS(Courses!B4:Q200,1,2,3,4,6,7,11,12),(Courses!A4:A200="Chosen")+(Courses!A4:A200="Obligatory"),"No courses marked as Chosen or Obligatory yet")</f>
        <v>290241U001</v>
      </c>
      <c r="B38" s="6" t="str">
        <v>Udviklingsprojekt i Mekanik</v>
      </c>
      <c r="C38" s="6">
        <v>10</v>
      </c>
      <c r="D38" s="6" t="str">
        <v>BSc</v>
      </c>
      <c r="E38" s="6" t="str">
        <v>E26</v>
      </c>
      <c r="F38" s="6" t="str">
        <v>Project</v>
      </c>
      <c r="G38" s="17">
        <v>0</v>
      </c>
      <c r="H38" s="6">
        <v>5</v>
      </c>
      <c r="K38" s="6" t="str" cm="1">
        <f t="array" ref="K38:R43">_xlfn._xlws.FILTER(_xlfn.CHOOSECOLS(Courses!B4:Q200,1,2,3,4,6,7,11,12),(Courses!A4:A200="Interested")+(Courses!A4:A200="Shortlist")+(Courses!A4:A200="Backup"),"No courses marked as shortlisted or interested yet")</f>
        <v>290252U023</v>
      </c>
      <c r="L38" s="6" t="str">
        <v>Computational Dynamics</v>
      </c>
      <c r="M38" s="6">
        <v>10</v>
      </c>
      <c r="N38" s="6" t="str">
        <v>MSc</v>
      </c>
      <c r="O38" s="6" t="str">
        <v>E26</v>
      </c>
      <c r="P38" s="6" t="str">
        <v>Oral</v>
      </c>
      <c r="Q38" s="17">
        <v>46407</v>
      </c>
      <c r="R38" s="6">
        <v>3</v>
      </c>
    </row>
    <row r="39" spans="1:42" ht="26.75" customHeight="1" x14ac:dyDescent="0.2">
      <c r="A39" s="6" t="str">
        <v>290221U002</v>
      </c>
      <c r="B39" s="6" t="str">
        <v>Varmetransmission</v>
      </c>
      <c r="C39" s="6">
        <v>5</v>
      </c>
      <c r="D39" s="6" t="str">
        <v>BSc</v>
      </c>
      <c r="E39" s="6" t="str">
        <v>E26</v>
      </c>
      <c r="F39" s="6" t="str">
        <v>Written</v>
      </c>
      <c r="G39" s="17">
        <v>46395</v>
      </c>
      <c r="H39" s="6">
        <v>0</v>
      </c>
      <c r="K39" s="6" t="str">
        <v>290252U002</v>
      </c>
      <c r="L39" s="6" t="str">
        <v>Fluids Engineering and Turbulence</v>
      </c>
      <c r="M39" s="6">
        <v>5</v>
      </c>
      <c r="N39" s="6" t="str">
        <v>MSc</v>
      </c>
      <c r="O39" s="6" t="str">
        <v>E26</v>
      </c>
      <c r="P39" s="6" t="str">
        <v>Written</v>
      </c>
      <c r="Q39" s="17">
        <v>46406</v>
      </c>
      <c r="R39" s="6">
        <v>4</v>
      </c>
    </row>
    <row r="40" spans="1:42" ht="26.75" customHeight="1" x14ac:dyDescent="0.2">
      <c r="A40" s="6" t="str">
        <v>290221U001</v>
      </c>
      <c r="B40" s="6" t="str">
        <v>Fremstillingsprocesser</v>
      </c>
      <c r="C40" s="6">
        <v>5</v>
      </c>
      <c r="D40" s="6" t="str">
        <v>BSc</v>
      </c>
      <c r="E40" s="6" t="str">
        <v>E26</v>
      </c>
      <c r="F40" s="6" t="str">
        <v>Written</v>
      </c>
      <c r="G40" s="17">
        <v>46402</v>
      </c>
      <c r="H40" s="6">
        <v>0</v>
      </c>
      <c r="K40" s="6" t="str">
        <v>290252U031</v>
      </c>
      <c r="L40" s="6" t="str">
        <v>Finite Element Method</v>
      </c>
      <c r="M40" s="6">
        <v>5</v>
      </c>
      <c r="N40" s="6" t="str">
        <v>MSc</v>
      </c>
      <c r="O40" s="6" t="str">
        <v>E26</v>
      </c>
      <c r="P40" s="6" t="str">
        <v>Take-home</v>
      </c>
      <c r="Q40" s="17">
        <v>0</v>
      </c>
      <c r="R40" s="6">
        <v>2</v>
      </c>
    </row>
    <row r="41" spans="1:42" ht="26.75" customHeight="1" x14ac:dyDescent="0.2">
      <c r="A41" s="6" t="str">
        <v>M3FEM1-03</v>
      </c>
      <c r="B41" s="6" t="str">
        <v>Finite Element og mekanisme analyse</v>
      </c>
      <c r="C41" s="6">
        <v>5</v>
      </c>
      <c r="D41" s="6" t="str">
        <v>Beng</v>
      </c>
      <c r="E41" s="6" t="str">
        <v>E26</v>
      </c>
      <c r="F41" s="6" t="str">
        <v>Oral</v>
      </c>
      <c r="G41" s="17">
        <v>46400</v>
      </c>
      <c r="H41" s="6">
        <v>4</v>
      </c>
      <c r="I41" s="18"/>
      <c r="J41" s="18"/>
      <c r="K41" s="18" t="str">
        <v>MTAPPCFD-01</v>
      </c>
      <c r="L41" s="18" t="str">
        <v>Anvendt CFD</v>
      </c>
      <c r="M41" s="18">
        <v>5</v>
      </c>
      <c r="N41" s="18" t="str">
        <v>Beng</v>
      </c>
      <c r="O41" s="18" t="str">
        <v>E26</v>
      </c>
      <c r="P41" s="18" t="str">
        <v>Take-home</v>
      </c>
      <c r="Q41" s="18">
        <v>0</v>
      </c>
      <c r="R41" s="18">
        <v>4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ht="26.75" customHeight="1" x14ac:dyDescent="0.2">
      <c r="A42" s="6" t="str">
        <v>MTKMA1-02</v>
      </c>
      <c r="B42" s="6" t="str">
        <v>Kompositmaterialer</v>
      </c>
      <c r="C42" s="6">
        <v>5</v>
      </c>
      <c r="D42" s="6" t="str">
        <v>Beng</v>
      </c>
      <c r="E42" s="6" t="str">
        <v>E26</v>
      </c>
      <c r="F42" s="6" t="str">
        <v>Oral</v>
      </c>
      <c r="G42" s="17">
        <v>46401</v>
      </c>
      <c r="H42" s="6">
        <v>5</v>
      </c>
      <c r="I42" s="18"/>
      <c r="J42" s="18"/>
      <c r="K42" s="18" t="str">
        <v>MTPLA1-01</v>
      </c>
      <c r="L42" s="18" t="str">
        <v>Plastteknologi</v>
      </c>
      <c r="M42" s="18">
        <v>5</v>
      </c>
      <c r="N42" s="18" t="str">
        <v>Beng</v>
      </c>
      <c r="O42" s="18" t="str">
        <v>E26</v>
      </c>
      <c r="P42" s="18" t="str">
        <v>Oral</v>
      </c>
      <c r="Q42" s="18">
        <v>46399</v>
      </c>
      <c r="R42" s="18">
        <v>4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 ht="26.75" customHeight="1" x14ac:dyDescent="0.2">
      <c r="A43" s="6"/>
      <c r="B43" s="6"/>
      <c r="C43" s="6"/>
      <c r="D43" s="6"/>
      <c r="E43" s="6"/>
      <c r="F43" s="6"/>
      <c r="G43" s="17"/>
      <c r="H43" s="6"/>
      <c r="I43" s="18"/>
      <c r="J43" s="18"/>
      <c r="K43" s="18" t="str">
        <v>MTSTK1-01</v>
      </c>
      <c r="L43" s="18" t="str">
        <v>Stålkonstruktioner</v>
      </c>
      <c r="M43" s="18">
        <v>5</v>
      </c>
      <c r="N43" s="18" t="str">
        <v>Beng</v>
      </c>
      <c r="O43" s="18" t="str">
        <v>E26</v>
      </c>
      <c r="P43" s="18" t="str">
        <v>Oral</v>
      </c>
      <c r="Q43" s="18">
        <v>46399</v>
      </c>
      <c r="R43" s="18">
        <v>4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ht="26.75" customHeight="1" x14ac:dyDescent="0.2">
      <c r="A44" s="6"/>
      <c r="B44" s="6"/>
      <c r="C44" s="6"/>
      <c r="D44" s="6"/>
      <c r="E44" s="6"/>
      <c r="F44" s="6"/>
      <c r="G44" s="17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 ht="26.75" customHeight="1" x14ac:dyDescent="0.2">
      <c r="A45" s="6"/>
      <c r="B45" s="6"/>
      <c r="C45" s="6"/>
      <c r="D45" s="6"/>
      <c r="E45" s="6"/>
      <c r="F45" s="6"/>
      <c r="G45" s="17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ht="26.75" customHeight="1" x14ac:dyDescent="0.2">
      <c r="A46" s="6"/>
      <c r="B46" s="6"/>
      <c r="C46" s="6"/>
      <c r="D46" s="6"/>
      <c r="E46" s="6"/>
      <c r="F46" s="6"/>
      <c r="G46" s="17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 ht="26.75" customHeight="1" x14ac:dyDescent="0.2">
      <c r="A47" s="6"/>
      <c r="B47" s="6"/>
      <c r="C47" s="6"/>
      <c r="D47" s="6"/>
      <c r="E47" s="6"/>
      <c r="F47" s="6"/>
      <c r="G47" s="17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ht="26.75" customHeight="1" x14ac:dyDescent="0.2">
      <c r="A48" s="6"/>
      <c r="B48" s="6"/>
      <c r="C48" s="6"/>
      <c r="D48" s="6"/>
      <c r="E48" s="6"/>
      <c r="F48" s="6"/>
      <c r="G48" s="17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2" ht="26.75" customHeight="1" x14ac:dyDescent="0.2">
      <c r="A49" s="6"/>
      <c r="B49" s="6"/>
      <c r="C49" s="6"/>
      <c r="D49" s="6"/>
      <c r="E49" s="6"/>
      <c r="F49" s="6"/>
      <c r="G49" s="17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ht="26.75" customHeight="1" x14ac:dyDescent="0.2">
      <c r="A50" s="6"/>
      <c r="B50" s="6"/>
      <c r="C50" s="6"/>
      <c r="D50" s="6"/>
      <c r="E50" s="6"/>
      <c r="F50" s="6"/>
      <c r="G50" s="17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2" ht="26.75" customHeight="1" x14ac:dyDescent="0.2">
      <c r="A51" s="6"/>
      <c r="B51" s="6"/>
      <c r="C51" s="6"/>
      <c r="D51" s="6"/>
      <c r="E51" s="6"/>
      <c r="F51" s="6"/>
      <c r="G51" s="17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2" ht="26.75" customHeight="1" x14ac:dyDescent="0.2">
      <c r="A52" s="6"/>
      <c r="B52" s="6"/>
      <c r="C52" s="6"/>
      <c r="D52" s="6"/>
      <c r="E52" s="6"/>
      <c r="F52" s="6"/>
      <c r="G52" s="17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2" ht="26.75" customHeight="1" x14ac:dyDescent="0.2">
      <c r="A53" s="6"/>
      <c r="B53" s="6"/>
      <c r="C53" s="6"/>
      <c r="D53" s="6"/>
      <c r="E53" s="6"/>
      <c r="F53" s="6"/>
      <c r="G53" s="17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ht="26.75" customHeight="1" x14ac:dyDescent="0.2">
      <c r="A54" s="6"/>
      <c r="B54" s="6"/>
      <c r="C54" s="6"/>
      <c r="D54" s="6"/>
      <c r="E54" s="6"/>
      <c r="F54" s="6"/>
      <c r="G54" s="17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ht="26.75" customHeight="1" x14ac:dyDescent="0.2">
      <c r="A55" s="6"/>
      <c r="B55" s="6"/>
      <c r="C55" s="6"/>
      <c r="D55" s="6"/>
      <c r="E55" s="6"/>
      <c r="F55" s="6"/>
      <c r="G55" s="17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spans="1:42" ht="26.75" customHeight="1" x14ac:dyDescent="0.2">
      <c r="A56" s="6"/>
      <c r="B56" s="6"/>
      <c r="C56" s="6"/>
      <c r="D56" s="6"/>
      <c r="E56" s="6"/>
      <c r="F56" s="6"/>
      <c r="G56" s="17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ht="26.75" customHeight="1" x14ac:dyDescent="0.2">
      <c r="A57" s="6"/>
      <c r="B57" s="6"/>
      <c r="C57" s="6"/>
      <c r="D57" s="6"/>
      <c r="E57" s="6"/>
      <c r="F57" s="6"/>
      <c r="G57" s="17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spans="1:42" ht="26.75" customHeight="1" x14ac:dyDescent="0.2">
      <c r="A58" s="6"/>
      <c r="B58" s="6"/>
      <c r="C58" s="6"/>
      <c r="D58" s="6"/>
      <c r="E58" s="6"/>
      <c r="F58" s="6"/>
      <c r="G58" s="17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ht="26.75" customHeight="1" x14ac:dyDescent="0.2">
      <c r="A59" s="6"/>
      <c r="B59" s="6"/>
      <c r="C59" s="6"/>
      <c r="D59" s="6"/>
      <c r="E59" s="6"/>
      <c r="F59" s="6"/>
      <c r="G59" s="17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ht="26.75" customHeight="1" x14ac:dyDescent="0.2">
      <c r="A60" s="6"/>
      <c r="B60" s="6"/>
      <c r="C60" s="6"/>
      <c r="D60" s="6"/>
      <c r="E60" s="6"/>
      <c r="F60" s="6"/>
      <c r="G60" s="17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ht="26.75" customHeight="1" x14ac:dyDescent="0.2">
      <c r="A61" s="6"/>
      <c r="B61" s="6"/>
      <c r="C61" s="6"/>
      <c r="D61" s="6"/>
      <c r="E61" s="6"/>
      <c r="F61" s="6"/>
      <c r="G61" s="17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ht="26.75" customHeight="1" x14ac:dyDescent="0.2">
      <c r="A62" s="6"/>
      <c r="B62" s="6"/>
      <c r="C62" s="6"/>
      <c r="D62" s="6"/>
      <c r="E62" s="6"/>
      <c r="F62" s="6"/>
      <c r="G62" s="17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ht="26.75" customHeight="1" x14ac:dyDescent="0.2">
      <c r="A63" s="6"/>
      <c r="B63" s="6"/>
      <c r="C63" s="6"/>
      <c r="D63" s="6"/>
      <c r="E63" s="6"/>
      <c r="F63" s="6"/>
      <c r="G63" s="17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ht="26.75" customHeight="1" x14ac:dyDescent="0.2">
      <c r="A64" s="6"/>
      <c r="B64" s="6"/>
      <c r="C64" s="6"/>
      <c r="D64" s="6"/>
      <c r="E64" s="6"/>
      <c r="F64" s="6"/>
      <c r="G64" s="17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spans="1:42" ht="26.75" customHeight="1" x14ac:dyDescent="0.2">
      <c r="A65" s="6"/>
      <c r="B65" s="6"/>
      <c r="C65" s="6"/>
      <c r="D65" s="6"/>
      <c r="E65" s="6"/>
      <c r="F65" s="6"/>
      <c r="G65" s="17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 ht="26.75" customHeight="1" x14ac:dyDescent="0.2">
      <c r="A66" s="6"/>
      <c r="B66" s="6"/>
      <c r="C66" s="6"/>
      <c r="D66" s="6"/>
      <c r="E66" s="6"/>
      <c r="F66" s="6"/>
      <c r="G66" s="17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ht="26.75" customHeight="1" x14ac:dyDescent="0.2">
      <c r="A67" s="6"/>
      <c r="B67" s="6"/>
      <c r="C67" s="6"/>
      <c r="D67" s="6"/>
      <c r="E67" s="6"/>
      <c r="F67" s="6"/>
      <c r="G67" s="17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 ht="26.75" customHeight="1" x14ac:dyDescent="0.2">
      <c r="A68" s="6"/>
      <c r="B68" s="6"/>
      <c r="C68" s="6"/>
      <c r="D68" s="6"/>
      <c r="E68" s="6"/>
      <c r="F68" s="6"/>
      <c r="G68" s="17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spans="1:42" ht="26.75" customHeight="1" x14ac:dyDescent="0.2">
      <c r="A69" s="6"/>
      <c r="B69" s="6"/>
      <c r="C69" s="6"/>
      <c r="D69" s="6"/>
      <c r="E69" s="6"/>
      <c r="F69" s="6"/>
      <c r="G69" s="17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spans="1:42" ht="26.75" customHeight="1" x14ac:dyDescent="0.2">
      <c r="A70" s="6"/>
      <c r="B70" s="6"/>
      <c r="C70" s="6"/>
      <c r="D70" s="6"/>
      <c r="E70" s="6"/>
      <c r="F70" s="6"/>
      <c r="G70" s="17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ht="26.75" customHeight="1" x14ac:dyDescent="0.2">
      <c r="A71" s="6"/>
      <c r="B71" s="6"/>
      <c r="C71" s="6"/>
      <c r="D71" s="6"/>
      <c r="E71" s="6"/>
      <c r="F71" s="6"/>
      <c r="G71" s="17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 ht="26.75" customHeight="1" x14ac:dyDescent="0.2">
      <c r="A72" s="6"/>
      <c r="B72" s="6"/>
      <c r="C72" s="6"/>
      <c r="D72" s="6"/>
      <c r="E72" s="6"/>
      <c r="F72" s="6"/>
      <c r="G72" s="17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ht="26.75" customHeight="1" x14ac:dyDescent="0.2">
      <c r="A73" s="6"/>
      <c r="B73" s="6"/>
      <c r="C73" s="6"/>
      <c r="D73" s="6"/>
      <c r="E73" s="6"/>
      <c r="F73" s="6"/>
      <c r="G73" s="17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ht="26.75" customHeight="1" x14ac:dyDescent="0.2">
      <c r="A74" s="6"/>
      <c r="B74" s="6"/>
      <c r="C74" s="6"/>
      <c r="D74" s="6"/>
      <c r="E74" s="6"/>
      <c r="F74" s="6"/>
      <c r="G74" s="17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ht="26.75" customHeight="1" x14ac:dyDescent="0.2">
      <c r="A75" s="6"/>
      <c r="B75" s="6"/>
      <c r="C75" s="6"/>
      <c r="D75" s="6"/>
      <c r="E75" s="6"/>
      <c r="F75" s="6"/>
      <c r="G75" s="17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spans="1:42" ht="26.75" customHeight="1" x14ac:dyDescent="0.2">
      <c r="A76" s="6"/>
      <c r="B76" s="6"/>
      <c r="C76" s="6"/>
      <c r="D76" s="6"/>
      <c r="E76" s="6"/>
      <c r="F76" s="6"/>
      <c r="G76" s="17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spans="1:42" ht="26.75" customHeight="1" x14ac:dyDescent="0.2">
      <c r="A77" s="6"/>
      <c r="B77" s="6"/>
      <c r="C77" s="6"/>
      <c r="D77" s="6"/>
      <c r="E77" s="6"/>
      <c r="F77" s="6"/>
      <c r="G77" s="17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 ht="26.75" customHeight="1" x14ac:dyDescent="0.2">
      <c r="A78" s="6"/>
      <c r="B78" s="6"/>
      <c r="C78" s="6"/>
      <c r="D78" s="6"/>
      <c r="E78" s="6"/>
      <c r="F78" s="6"/>
      <c r="G78" s="17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spans="1:42" ht="26.75" customHeight="1" x14ac:dyDescent="0.2">
      <c r="A79" s="6"/>
      <c r="B79" s="6"/>
      <c r="C79" s="6"/>
      <c r="D79" s="6"/>
      <c r="E79" s="6"/>
      <c r="F79" s="6"/>
      <c r="G79" s="17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spans="1:42" ht="26.75" customHeight="1" x14ac:dyDescent="0.2">
      <c r="A80" s="6"/>
      <c r="B80" s="6"/>
      <c r="C80" s="6"/>
      <c r="D80" s="6"/>
      <c r="E80" s="6"/>
      <c r="F80" s="6"/>
      <c r="G80" s="17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spans="8:42" x14ac:dyDescent="0.2"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spans="8:42" x14ac:dyDescent="0.2"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spans="8:42" x14ac:dyDescent="0.2"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spans="8:42" x14ac:dyDescent="0.2"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spans="8:42" x14ac:dyDescent="0.2"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spans="8:42" x14ac:dyDescent="0.2"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spans="8:42" x14ac:dyDescent="0.2"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spans="8:42" x14ac:dyDescent="0.2"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spans="8:42" x14ac:dyDescent="0.2"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spans="8:42" x14ac:dyDescent="0.2"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spans="8:42" x14ac:dyDescent="0.2"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 spans="8:42" x14ac:dyDescent="0.2"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 spans="8:42" x14ac:dyDescent="0.2"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 spans="8:42" x14ac:dyDescent="0.2"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 spans="8:42" x14ac:dyDescent="0.2"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 spans="8:42" x14ac:dyDescent="0.2"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 spans="8:42" x14ac:dyDescent="0.2"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 spans="8:42" x14ac:dyDescent="0.2"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 spans="8:42" x14ac:dyDescent="0.2"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 spans="8:42" x14ac:dyDescent="0.2"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 spans="8:42" x14ac:dyDescent="0.2"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 spans="8:42" x14ac:dyDescent="0.2"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 spans="8:42" x14ac:dyDescent="0.2"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 spans="8:42" x14ac:dyDescent="0.2"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 spans="8:42" x14ac:dyDescent="0.2"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 spans="8:42" x14ac:dyDescent="0.2"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 spans="8:42" x14ac:dyDescent="0.2"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 spans="8:42" x14ac:dyDescent="0.2"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 spans="8:42" x14ac:dyDescent="0.2"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 spans="8:42" x14ac:dyDescent="0.2"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 spans="8:42" x14ac:dyDescent="0.2"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 spans="8:42" x14ac:dyDescent="0.2"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 spans="8:42" x14ac:dyDescent="0.2"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 spans="8:42" x14ac:dyDescent="0.2"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 spans="8:42" x14ac:dyDescent="0.2"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 spans="8:42" x14ac:dyDescent="0.2"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 spans="8:42" x14ac:dyDescent="0.2"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 spans="8:42" x14ac:dyDescent="0.2"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 spans="8:42" x14ac:dyDescent="0.2"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 spans="8:42" x14ac:dyDescent="0.2"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 spans="8:42" x14ac:dyDescent="0.2"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 spans="8:42" x14ac:dyDescent="0.2"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 spans="8:42" x14ac:dyDescent="0.2"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 spans="8:42" x14ac:dyDescent="0.2"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 spans="8:42" x14ac:dyDescent="0.2"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 spans="8:42" x14ac:dyDescent="0.2"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 spans="8:42" x14ac:dyDescent="0.2"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 spans="8:42" x14ac:dyDescent="0.2"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 spans="8:42" x14ac:dyDescent="0.2"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 spans="8:42" x14ac:dyDescent="0.2"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 spans="8:42" x14ac:dyDescent="0.2"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 spans="8:42" x14ac:dyDescent="0.2"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 spans="8:42" x14ac:dyDescent="0.2"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 spans="8:42" x14ac:dyDescent="0.2"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 spans="8:42" x14ac:dyDescent="0.2"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 spans="8:42" x14ac:dyDescent="0.2"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 spans="8:42" x14ac:dyDescent="0.2"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 spans="8:42" x14ac:dyDescent="0.2"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 spans="8:42" x14ac:dyDescent="0.2"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 spans="8:42" x14ac:dyDescent="0.2"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 spans="8:42" x14ac:dyDescent="0.2"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 spans="8:42" x14ac:dyDescent="0.2"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 spans="8:42" x14ac:dyDescent="0.2"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 spans="8:42" x14ac:dyDescent="0.2"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 spans="8:42" x14ac:dyDescent="0.2"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 spans="8:42" x14ac:dyDescent="0.2"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 spans="8:42" x14ac:dyDescent="0.2"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 spans="8:42" x14ac:dyDescent="0.2"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 spans="8:42" x14ac:dyDescent="0.2"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 spans="8:42" x14ac:dyDescent="0.2"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 spans="8:42" x14ac:dyDescent="0.2"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 spans="8:42" x14ac:dyDescent="0.2"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 spans="8:42" x14ac:dyDescent="0.2"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 spans="8:42" x14ac:dyDescent="0.2"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 spans="8:42" x14ac:dyDescent="0.2"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 spans="8:42" x14ac:dyDescent="0.2"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 spans="8:42" x14ac:dyDescent="0.2"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 spans="8:42" x14ac:dyDescent="0.2"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 spans="8:42" x14ac:dyDescent="0.2"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 spans="8:42" x14ac:dyDescent="0.2"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 spans="8:42" x14ac:dyDescent="0.2"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 spans="8:42" x14ac:dyDescent="0.2"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 spans="8:42" x14ac:dyDescent="0.2"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 spans="8:42" x14ac:dyDescent="0.2"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 spans="8:42" x14ac:dyDescent="0.2"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 spans="8:42" x14ac:dyDescent="0.2"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 spans="8:42" x14ac:dyDescent="0.2"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 spans="8:42" x14ac:dyDescent="0.2"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 spans="8:42" x14ac:dyDescent="0.2"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 spans="8:42" x14ac:dyDescent="0.2"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 spans="8:42" x14ac:dyDescent="0.2"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 spans="8:42" x14ac:dyDescent="0.2"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 spans="8:42" x14ac:dyDescent="0.2"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 spans="8:42" x14ac:dyDescent="0.2"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 spans="8:42" x14ac:dyDescent="0.2"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 spans="8:42" x14ac:dyDescent="0.2"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 spans="8:42" x14ac:dyDescent="0.2"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 spans="8:42" x14ac:dyDescent="0.2"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</sheetData>
  <conditionalFormatting sqref="B6">
    <cfRule type="cellIs" dxfId="1" priority="2" operator="greaterThanOrEqual">
      <formula>$B$5</formula>
    </cfRule>
  </conditionalFormatting>
  <conditionalFormatting sqref="B7">
    <cfRule type="cellIs" dxfId="0" priority="1" operator="greaterThan">
      <formula>0</formula>
    </cfRule>
  </conditionalFormatting>
  <conditionalFormatting sqref="F25:F28">
    <cfRule type="cellIs" dxfId="2" priority="3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92F6-25D6-7443-9AD4-A2FA6A700DCE}">
  <dimension ref="A1:Q22"/>
  <sheetViews>
    <sheetView tabSelected="1" zoomScale="125" workbookViewId="0">
      <selection activeCell="B20" sqref="B20"/>
    </sheetView>
  </sheetViews>
  <sheetFormatPr baseColWidth="10" defaultRowHeight="16" x14ac:dyDescent="0.2"/>
  <cols>
    <col min="2" max="2" width="16.33203125" bestFit="1" customWidth="1"/>
    <col min="3" max="3" width="33.5" bestFit="1" customWidth="1"/>
    <col min="5" max="5" width="11" customWidth="1"/>
    <col min="6" max="6" width="21.33203125" bestFit="1" customWidth="1"/>
    <col min="7" max="7" width="13.6640625" bestFit="1" customWidth="1"/>
    <col min="8" max="8" width="14.6640625" bestFit="1" customWidth="1"/>
    <col min="9" max="9" width="15" bestFit="1" customWidth="1"/>
    <col min="10" max="10" width="25" bestFit="1" customWidth="1"/>
    <col min="11" max="11" width="18.5" bestFit="1" customWidth="1"/>
    <col min="12" max="12" width="14.5" style="2" bestFit="1" customWidth="1"/>
    <col min="13" max="13" width="16.33203125" bestFit="1" customWidth="1"/>
    <col min="14" max="14" width="19" bestFit="1" customWidth="1"/>
    <col min="15" max="15" width="17.6640625" bestFit="1" customWidth="1"/>
    <col min="16" max="16" width="22.1640625" bestFit="1" customWidth="1"/>
    <col min="17" max="17" width="89" bestFit="1" customWidth="1"/>
  </cols>
  <sheetData>
    <row r="1" spans="1:17" x14ac:dyDescent="0.2">
      <c r="L1"/>
    </row>
    <row r="2" spans="1:17" x14ac:dyDescent="0.2">
      <c r="L2"/>
    </row>
    <row r="3" spans="1:17" x14ac:dyDescent="0.2">
      <c r="A3" t="s">
        <v>16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1:17" x14ac:dyDescent="0.2">
      <c r="A4" t="s">
        <v>20</v>
      </c>
      <c r="B4" t="s">
        <v>83</v>
      </c>
      <c r="C4" t="s">
        <v>84</v>
      </c>
      <c r="D4">
        <v>10</v>
      </c>
      <c r="E4" t="s">
        <v>24</v>
      </c>
      <c r="F4" t="s">
        <v>47</v>
      </c>
      <c r="G4" t="s">
        <v>27</v>
      </c>
      <c r="H4" t="s">
        <v>33</v>
      </c>
      <c r="I4" t="s">
        <v>35</v>
      </c>
      <c r="J4" t="s">
        <v>85</v>
      </c>
      <c r="K4" t="s">
        <v>86</v>
      </c>
      <c r="L4" s="2">
        <v>46407</v>
      </c>
      <c r="M4">
        <v>3</v>
      </c>
      <c r="N4">
        <v>4</v>
      </c>
      <c r="O4">
        <v>5</v>
      </c>
      <c r="Q4" s="3" t="s">
        <v>87</v>
      </c>
    </row>
    <row r="5" spans="1:17" x14ac:dyDescent="0.2">
      <c r="A5" t="s">
        <v>19</v>
      </c>
      <c r="B5" t="s">
        <v>88</v>
      </c>
      <c r="C5" t="s">
        <v>89</v>
      </c>
      <c r="D5">
        <v>10</v>
      </c>
      <c r="E5" t="s">
        <v>22</v>
      </c>
      <c r="F5" t="s">
        <v>62</v>
      </c>
      <c r="G5" t="s">
        <v>27</v>
      </c>
      <c r="H5" t="s">
        <v>34</v>
      </c>
      <c r="I5" t="s">
        <v>37</v>
      </c>
      <c r="J5" t="s">
        <v>90</v>
      </c>
      <c r="M5">
        <v>5</v>
      </c>
      <c r="N5">
        <v>5</v>
      </c>
      <c r="O5">
        <v>5</v>
      </c>
      <c r="Q5" t="s">
        <v>91</v>
      </c>
    </row>
    <row r="6" spans="1:17" x14ac:dyDescent="0.2">
      <c r="B6" t="s">
        <v>107</v>
      </c>
      <c r="C6" t="s">
        <v>108</v>
      </c>
      <c r="D6">
        <v>10</v>
      </c>
      <c r="E6" t="s">
        <v>23</v>
      </c>
      <c r="F6" t="s">
        <v>46</v>
      </c>
      <c r="G6" t="s">
        <v>27</v>
      </c>
      <c r="H6" t="s">
        <v>33</v>
      </c>
      <c r="I6" t="s">
        <v>35</v>
      </c>
      <c r="J6" t="s">
        <v>109</v>
      </c>
      <c r="K6" t="s">
        <v>110</v>
      </c>
      <c r="L6" s="2">
        <v>46405</v>
      </c>
      <c r="M6">
        <v>3</v>
      </c>
      <c r="N6">
        <v>4</v>
      </c>
      <c r="O6">
        <v>5</v>
      </c>
      <c r="Q6" s="3" t="s">
        <v>111</v>
      </c>
    </row>
    <row r="7" spans="1:17" x14ac:dyDescent="0.2">
      <c r="A7" t="s">
        <v>17</v>
      </c>
      <c r="B7" t="s">
        <v>39</v>
      </c>
      <c r="C7" t="s">
        <v>40</v>
      </c>
      <c r="D7">
        <v>5</v>
      </c>
      <c r="E7" t="s">
        <v>24</v>
      </c>
      <c r="F7" t="s">
        <v>45</v>
      </c>
      <c r="G7" t="s">
        <v>27</v>
      </c>
      <c r="H7" t="s">
        <v>32</v>
      </c>
      <c r="I7" t="s">
        <v>35</v>
      </c>
      <c r="J7" t="s">
        <v>41</v>
      </c>
      <c r="K7" t="s">
        <v>56</v>
      </c>
      <c r="L7" s="2">
        <v>46406</v>
      </c>
      <c r="M7">
        <v>4</v>
      </c>
      <c r="N7">
        <v>4</v>
      </c>
      <c r="O7">
        <v>4</v>
      </c>
      <c r="P7" t="s">
        <v>42</v>
      </c>
      <c r="Q7" s="3" t="s">
        <v>43</v>
      </c>
    </row>
    <row r="8" spans="1:17" x14ac:dyDescent="0.2">
      <c r="B8" t="s">
        <v>52</v>
      </c>
      <c r="C8" t="s">
        <v>53</v>
      </c>
      <c r="D8">
        <v>5</v>
      </c>
      <c r="E8" t="s">
        <v>24</v>
      </c>
      <c r="F8" t="s">
        <v>44</v>
      </c>
      <c r="G8" t="s">
        <v>27</v>
      </c>
      <c r="H8" t="s">
        <v>32</v>
      </c>
      <c r="I8" t="s">
        <v>35</v>
      </c>
      <c r="J8" t="s">
        <v>54</v>
      </c>
      <c r="K8" t="s">
        <v>55</v>
      </c>
      <c r="L8" s="2">
        <v>46398</v>
      </c>
      <c r="M8">
        <v>3</v>
      </c>
      <c r="N8">
        <v>3</v>
      </c>
      <c r="O8">
        <v>3</v>
      </c>
      <c r="Q8" t="s">
        <v>57</v>
      </c>
    </row>
    <row r="9" spans="1:17" x14ac:dyDescent="0.2">
      <c r="A9" t="s">
        <v>60</v>
      </c>
      <c r="B9" t="s">
        <v>61</v>
      </c>
      <c r="C9" t="s">
        <v>58</v>
      </c>
      <c r="D9">
        <v>5</v>
      </c>
      <c r="E9" t="s">
        <v>22</v>
      </c>
      <c r="F9" t="s">
        <v>62</v>
      </c>
      <c r="G9" t="s">
        <v>27</v>
      </c>
      <c r="H9" t="s">
        <v>32</v>
      </c>
      <c r="I9" t="s">
        <v>35</v>
      </c>
      <c r="J9" t="s">
        <v>63</v>
      </c>
      <c r="K9" t="s">
        <v>65</v>
      </c>
      <c r="L9" s="2">
        <v>46395</v>
      </c>
      <c r="P9" t="s">
        <v>64</v>
      </c>
      <c r="Q9" s="3" t="s">
        <v>66</v>
      </c>
    </row>
    <row r="10" spans="1:17" x14ac:dyDescent="0.2">
      <c r="A10" t="s">
        <v>60</v>
      </c>
      <c r="B10" t="s">
        <v>67</v>
      </c>
      <c r="C10" t="s">
        <v>59</v>
      </c>
      <c r="D10">
        <v>5</v>
      </c>
      <c r="E10" t="s">
        <v>22</v>
      </c>
      <c r="F10" t="s">
        <v>62</v>
      </c>
      <c r="G10" t="s">
        <v>27</v>
      </c>
      <c r="H10" t="s">
        <v>32</v>
      </c>
      <c r="I10" t="s">
        <v>35</v>
      </c>
      <c r="J10" t="s">
        <v>68</v>
      </c>
      <c r="K10" t="s">
        <v>55</v>
      </c>
      <c r="L10" s="2">
        <v>46402</v>
      </c>
      <c r="P10" t="s">
        <v>69</v>
      </c>
      <c r="Q10" t="s">
        <v>70</v>
      </c>
    </row>
    <row r="11" spans="1:17" x14ac:dyDescent="0.2">
      <c r="B11" t="s">
        <v>71</v>
      </c>
      <c r="C11" t="s">
        <v>72</v>
      </c>
      <c r="D11">
        <v>5</v>
      </c>
      <c r="E11" t="s">
        <v>24</v>
      </c>
      <c r="F11" t="s">
        <v>46</v>
      </c>
      <c r="G11" t="s">
        <v>27</v>
      </c>
      <c r="H11" t="s">
        <v>33</v>
      </c>
      <c r="I11" t="s">
        <v>35</v>
      </c>
      <c r="J11" t="s">
        <v>73</v>
      </c>
      <c r="K11" t="s">
        <v>80</v>
      </c>
      <c r="L11" s="2">
        <v>46413</v>
      </c>
      <c r="M11">
        <v>3</v>
      </c>
      <c r="N11">
        <v>3</v>
      </c>
      <c r="O11">
        <v>4</v>
      </c>
      <c r="P11" t="s">
        <v>74</v>
      </c>
      <c r="Q11" t="s">
        <v>75</v>
      </c>
    </row>
    <row r="12" spans="1:17" x14ac:dyDescent="0.2">
      <c r="A12" t="s">
        <v>20</v>
      </c>
      <c r="B12" t="s">
        <v>77</v>
      </c>
      <c r="C12" t="s">
        <v>76</v>
      </c>
      <c r="D12">
        <v>5</v>
      </c>
      <c r="E12" t="s">
        <v>24</v>
      </c>
      <c r="F12" t="s">
        <v>48</v>
      </c>
      <c r="G12" t="s">
        <v>27</v>
      </c>
      <c r="H12" t="s">
        <v>78</v>
      </c>
      <c r="I12" t="s">
        <v>35</v>
      </c>
      <c r="J12" t="s">
        <v>79</v>
      </c>
      <c r="K12" t="s">
        <v>81</v>
      </c>
      <c r="M12">
        <v>2</v>
      </c>
      <c r="N12">
        <v>3</v>
      </c>
      <c r="O12">
        <v>4</v>
      </c>
      <c r="Q12" s="3" t="s">
        <v>82</v>
      </c>
    </row>
    <row r="13" spans="1:17" x14ac:dyDescent="0.2">
      <c r="A13" t="s">
        <v>20</v>
      </c>
      <c r="B13" t="s">
        <v>92</v>
      </c>
      <c r="C13" t="s">
        <v>93</v>
      </c>
      <c r="D13">
        <v>5</v>
      </c>
      <c r="E13" t="s">
        <v>23</v>
      </c>
      <c r="F13" t="s">
        <v>45</v>
      </c>
      <c r="G13" t="s">
        <v>27</v>
      </c>
      <c r="H13" t="s">
        <v>78</v>
      </c>
      <c r="I13" t="s">
        <v>35</v>
      </c>
      <c r="J13" t="s">
        <v>94</v>
      </c>
      <c r="K13" t="s">
        <v>95</v>
      </c>
      <c r="M13">
        <v>4</v>
      </c>
      <c r="N13">
        <v>3</v>
      </c>
      <c r="O13">
        <v>4</v>
      </c>
      <c r="Q13" s="3" t="s">
        <v>101</v>
      </c>
    </row>
    <row r="14" spans="1:17" x14ac:dyDescent="0.2">
      <c r="B14" t="s">
        <v>96</v>
      </c>
      <c r="C14" t="s">
        <v>97</v>
      </c>
      <c r="D14">
        <v>5</v>
      </c>
      <c r="E14" t="s">
        <v>23</v>
      </c>
      <c r="F14" t="s">
        <v>44</v>
      </c>
      <c r="G14" t="s">
        <v>27</v>
      </c>
      <c r="H14" t="s">
        <v>33</v>
      </c>
      <c r="I14" t="s">
        <v>35</v>
      </c>
      <c r="J14" t="s">
        <v>98</v>
      </c>
      <c r="K14" t="s">
        <v>99</v>
      </c>
      <c r="L14" s="2">
        <v>46391</v>
      </c>
      <c r="M14">
        <v>1</v>
      </c>
      <c r="N14">
        <v>2</v>
      </c>
      <c r="O14">
        <v>2</v>
      </c>
      <c r="Q14" s="3" t="s">
        <v>100</v>
      </c>
    </row>
    <row r="15" spans="1:17" x14ac:dyDescent="0.2">
      <c r="B15" t="s">
        <v>102</v>
      </c>
      <c r="C15" t="s">
        <v>103</v>
      </c>
      <c r="D15">
        <v>5</v>
      </c>
      <c r="E15" t="s">
        <v>23</v>
      </c>
      <c r="F15" t="s">
        <v>45</v>
      </c>
      <c r="G15" t="s">
        <v>27</v>
      </c>
      <c r="H15" t="s">
        <v>33</v>
      </c>
      <c r="I15" t="s">
        <v>35</v>
      </c>
      <c r="J15" t="s">
        <v>104</v>
      </c>
      <c r="K15" t="s">
        <v>105</v>
      </c>
      <c r="L15" s="2">
        <v>46392</v>
      </c>
      <c r="M15">
        <v>2</v>
      </c>
      <c r="N15">
        <v>3</v>
      </c>
      <c r="O15">
        <v>2</v>
      </c>
      <c r="Q15" s="3" t="s">
        <v>106</v>
      </c>
    </row>
    <row r="16" spans="1:17" x14ac:dyDescent="0.2">
      <c r="B16" t="s">
        <v>112</v>
      </c>
      <c r="C16" t="s">
        <v>113</v>
      </c>
      <c r="D16">
        <v>5</v>
      </c>
      <c r="E16" t="s">
        <v>23</v>
      </c>
      <c r="F16" t="s">
        <v>62</v>
      </c>
      <c r="G16" t="s">
        <v>27</v>
      </c>
      <c r="H16" t="s">
        <v>78</v>
      </c>
      <c r="I16" t="s">
        <v>35</v>
      </c>
      <c r="J16" t="s">
        <v>109</v>
      </c>
      <c r="K16" t="s">
        <v>80</v>
      </c>
      <c r="M16">
        <v>3</v>
      </c>
      <c r="N16">
        <v>4</v>
      </c>
      <c r="O16">
        <v>2</v>
      </c>
      <c r="Q16" s="3" t="s">
        <v>114</v>
      </c>
    </row>
    <row r="17" spans="1:17" x14ac:dyDescent="0.2">
      <c r="B17" t="s">
        <v>115</v>
      </c>
      <c r="C17" t="s">
        <v>116</v>
      </c>
      <c r="D17">
        <v>5</v>
      </c>
      <c r="E17" t="s">
        <v>23</v>
      </c>
      <c r="F17" t="s">
        <v>62</v>
      </c>
      <c r="G17" t="s">
        <v>27</v>
      </c>
      <c r="H17" t="s">
        <v>33</v>
      </c>
      <c r="I17" t="s">
        <v>35</v>
      </c>
      <c r="J17" t="s">
        <v>117</v>
      </c>
      <c r="K17" t="s">
        <v>118</v>
      </c>
      <c r="L17" s="2">
        <v>46371</v>
      </c>
      <c r="M17">
        <v>1</v>
      </c>
      <c r="N17">
        <v>3</v>
      </c>
      <c r="O17">
        <v>3</v>
      </c>
      <c r="Q17" s="3" t="s">
        <v>119</v>
      </c>
    </row>
    <row r="18" spans="1:17" x14ac:dyDescent="0.2">
      <c r="A18" t="s">
        <v>19</v>
      </c>
      <c r="B18" t="s">
        <v>120</v>
      </c>
      <c r="C18" t="s">
        <v>121</v>
      </c>
      <c r="D18">
        <v>5</v>
      </c>
      <c r="E18" t="s">
        <v>23</v>
      </c>
      <c r="F18" t="s">
        <v>48</v>
      </c>
      <c r="G18" t="s">
        <v>27</v>
      </c>
      <c r="H18" t="s">
        <v>33</v>
      </c>
      <c r="I18" t="s">
        <v>35</v>
      </c>
      <c r="J18" t="s">
        <v>122</v>
      </c>
      <c r="K18" t="s">
        <v>123</v>
      </c>
      <c r="L18" s="2">
        <v>46400</v>
      </c>
      <c r="M18">
        <v>4</v>
      </c>
      <c r="N18">
        <v>5</v>
      </c>
      <c r="O18">
        <v>3</v>
      </c>
      <c r="Q18" s="3" t="s">
        <v>124</v>
      </c>
    </row>
    <row r="19" spans="1:17" x14ac:dyDescent="0.2">
      <c r="B19" t="s">
        <v>125</v>
      </c>
      <c r="C19" t="s">
        <v>126</v>
      </c>
      <c r="D19">
        <v>5</v>
      </c>
      <c r="E19" t="s">
        <v>23</v>
      </c>
      <c r="F19" t="s">
        <v>48</v>
      </c>
      <c r="G19" t="s">
        <v>27</v>
      </c>
      <c r="H19" t="s">
        <v>78</v>
      </c>
      <c r="I19" t="s">
        <v>35</v>
      </c>
      <c r="J19" t="s">
        <v>94</v>
      </c>
      <c r="K19" t="s">
        <v>127</v>
      </c>
      <c r="M19">
        <v>3</v>
      </c>
      <c r="N19">
        <v>4</v>
      </c>
      <c r="O19">
        <v>3</v>
      </c>
      <c r="Q19" s="3" t="s">
        <v>128</v>
      </c>
    </row>
    <row r="20" spans="1:17" x14ac:dyDescent="0.2">
      <c r="A20" t="s">
        <v>19</v>
      </c>
      <c r="B20" t="s">
        <v>129</v>
      </c>
      <c r="C20" t="s">
        <v>130</v>
      </c>
      <c r="D20">
        <v>5</v>
      </c>
      <c r="E20" t="s">
        <v>23</v>
      </c>
      <c r="F20" t="s">
        <v>49</v>
      </c>
      <c r="G20" t="s">
        <v>27</v>
      </c>
      <c r="H20" t="s">
        <v>33</v>
      </c>
      <c r="I20" t="s">
        <v>35</v>
      </c>
      <c r="J20" t="s">
        <v>131</v>
      </c>
      <c r="K20" t="s">
        <v>132</v>
      </c>
      <c r="L20" s="2">
        <v>46401</v>
      </c>
      <c r="M20">
        <v>5</v>
      </c>
      <c r="N20">
        <v>4</v>
      </c>
      <c r="O20">
        <v>3</v>
      </c>
      <c r="Q20" s="3" t="s">
        <v>133</v>
      </c>
    </row>
    <row r="21" spans="1:17" x14ac:dyDescent="0.2">
      <c r="A21" t="s">
        <v>17</v>
      </c>
      <c r="B21" t="s">
        <v>134</v>
      </c>
      <c r="C21" t="s">
        <v>135</v>
      </c>
      <c r="D21">
        <v>5</v>
      </c>
      <c r="E21" t="s">
        <v>23</v>
      </c>
      <c r="F21" t="s">
        <v>49</v>
      </c>
      <c r="G21" t="s">
        <v>27</v>
      </c>
      <c r="H21" t="s">
        <v>33</v>
      </c>
      <c r="I21" t="s">
        <v>35</v>
      </c>
      <c r="J21" t="s">
        <v>136</v>
      </c>
      <c r="K21" t="s">
        <v>137</v>
      </c>
      <c r="L21" s="2">
        <v>46399</v>
      </c>
      <c r="M21">
        <v>4</v>
      </c>
      <c r="N21">
        <v>4</v>
      </c>
      <c r="O21">
        <v>3</v>
      </c>
      <c r="Q21" s="3" t="s">
        <v>138</v>
      </c>
    </row>
    <row r="22" spans="1:17" x14ac:dyDescent="0.2">
      <c r="A22" t="s">
        <v>20</v>
      </c>
      <c r="B22" t="s">
        <v>139</v>
      </c>
      <c r="C22" t="s">
        <v>140</v>
      </c>
      <c r="D22">
        <v>5</v>
      </c>
      <c r="E22" t="s">
        <v>23</v>
      </c>
      <c r="F22" t="s">
        <v>48</v>
      </c>
      <c r="G22" t="s">
        <v>27</v>
      </c>
      <c r="H22" t="s">
        <v>33</v>
      </c>
      <c r="I22" t="s">
        <v>35</v>
      </c>
      <c r="J22" t="s">
        <v>141</v>
      </c>
      <c r="K22" t="s">
        <v>142</v>
      </c>
      <c r="L22" s="2">
        <v>46399</v>
      </c>
      <c r="M22">
        <v>4</v>
      </c>
      <c r="N22">
        <v>4</v>
      </c>
      <c r="O22">
        <v>3</v>
      </c>
      <c r="Q22" s="3" t="s">
        <v>143</v>
      </c>
    </row>
  </sheetData>
  <dataValidations count="2">
    <dataValidation type="whole" allowBlank="1" showInputMessage="1" showErrorMessage="1" sqref="M4:O1048576" xr:uid="{CA17A98B-6AE0-4B4D-BC6B-432556A7A170}">
      <formula1>1</formula1>
      <formula2>5</formula2>
    </dataValidation>
    <dataValidation type="date" allowBlank="1" showInputMessage="1" showErrorMessage="1" sqref="L4:L1048576" xr:uid="{C5296172-9E0A-5844-A1B5-23B70FBEECB1}">
      <formula1>46366</formula1>
      <formula2>46419</formula2>
    </dataValidation>
  </dataValidations>
  <hyperlinks>
    <hyperlink ref="Q9" r:id="rId1" xr:uid="{77DC36FA-D1AF-6844-907E-311F815B3BEB}"/>
    <hyperlink ref="Q12" r:id="rId2" xr:uid="{A5652659-F23F-2442-9600-87AD1EE7279B}"/>
    <hyperlink ref="Q14" r:id="rId3" xr:uid="{8DA17D07-EA32-7D40-8B69-5C73D1CD70DD}"/>
    <hyperlink ref="Q13" r:id="rId4" xr:uid="{D2C3B0B8-3BFE-9945-A84D-C46345702B31}"/>
    <hyperlink ref="Q15" r:id="rId5" xr:uid="{16839BDF-2A47-114F-B679-D6AF314B9125}"/>
    <hyperlink ref="Q6" r:id="rId6" xr:uid="{E4C4B89E-4BBE-784C-AD65-9F804DF0A656}"/>
    <hyperlink ref="Q16" r:id="rId7" xr:uid="{A371A72C-1363-0249-8372-958BD11F0C82}"/>
    <hyperlink ref="Q17" r:id="rId8" xr:uid="{912B2707-E738-4F4B-8657-37218418B947}"/>
    <hyperlink ref="Q18" r:id="rId9" xr:uid="{6134A32E-B0C5-3C45-BD79-593BEB7EB633}"/>
    <hyperlink ref="Q19" r:id="rId10" xr:uid="{D63E98DD-AE31-A747-BAD2-39669A3E7FC5}"/>
    <hyperlink ref="Q20" r:id="rId11" xr:uid="{14BD8C54-F28B-F74F-87DF-E643C6681F97}"/>
    <hyperlink ref="Q21" r:id="rId12" xr:uid="{FD44605A-E9E2-2242-B9BD-9021612A28F1}"/>
    <hyperlink ref="Q4" r:id="rId13" xr:uid="{87F44C47-625B-5C4A-85CD-A3D55D0BAE27}"/>
    <hyperlink ref="Q7" r:id="rId14" xr:uid="{35F36101-ECE0-C94D-86EE-AA34946AE24F}"/>
    <hyperlink ref="Q22" r:id="rId15" xr:uid="{63C21AD5-3354-5B49-9D5F-332F9912D3FB}"/>
  </hyperlinks>
  <pageMargins left="0.7" right="0.7" top="0.75" bottom="0.75" header="0.3" footer="0.3"/>
  <pageSetup paperSize="9" orientation="portrait" horizontalDpi="0" verticalDpi="0"/>
  <tableParts count="1">
    <tablePart r:id="rId16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C05EDCA-7F33-C74B-AC4E-21A791FF0B82}">
          <x14:formula1>
            <xm:f>Lists!$A$2:$A$7</xm:f>
          </x14:formula1>
          <xm:sqref>A4:A1048576</xm:sqref>
        </x14:dataValidation>
        <x14:dataValidation type="list" allowBlank="1" showInputMessage="1" showErrorMessage="1" xr:uid="{682522A0-7616-974A-BA84-FA598529BF16}">
          <x14:formula1>
            <xm:f>Lists!$G$2:$G$3</xm:f>
          </x14:formula1>
          <xm:sqref>D4:D1048576</xm:sqref>
        </x14:dataValidation>
        <x14:dataValidation type="list" allowBlank="1" showInputMessage="1" showErrorMessage="1" xr:uid="{87DDCDB9-9EF9-B64C-BE93-673CEEC83009}">
          <x14:formula1>
            <xm:f>Lists!$B$2:$B$6</xm:f>
          </x14:formula1>
          <xm:sqref>E4:E1048576</xm:sqref>
        </x14:dataValidation>
        <x14:dataValidation type="list" allowBlank="1" showInputMessage="1" showErrorMessage="1" xr:uid="{080DDC66-ADE4-004A-B875-214E786ABE34}">
          <x14:formula1>
            <xm:f>Lists!$C$2:$C$6</xm:f>
          </x14:formula1>
          <xm:sqref>G4:G1048576</xm:sqref>
        </x14:dataValidation>
        <x14:dataValidation type="list" allowBlank="1" showInputMessage="1" showErrorMessage="1" xr:uid="{BBAEB7EA-F8AC-0445-85D7-131AC75B5481}">
          <x14:formula1>
            <xm:f>Lists!$D$2:$D$5</xm:f>
          </x14:formula1>
          <xm:sqref>H4:H1048576</xm:sqref>
        </x14:dataValidation>
        <x14:dataValidation type="list" allowBlank="1" showInputMessage="1" showErrorMessage="1" xr:uid="{904C78BE-6559-A742-BFAA-716F9EEBE1D9}">
          <x14:formula1>
            <xm:f>Lists!$E$2:$E$4</xm:f>
          </x14:formula1>
          <xm:sqref>I4:I1048576</xm:sqref>
        </x14:dataValidation>
        <x14:dataValidation type="list" allowBlank="1" showInputMessage="1" showErrorMessage="1" xr:uid="{D050C0A2-4D5D-4244-A489-93B349D893DE}">
          <x14:formula1>
            <xm:f>Lists!$F$2:$F$10</xm:f>
          </x14:formula1>
          <xm:sqref>F4:F1048576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6A24-BDF0-D141-9F74-6C6570BFB78C}">
  <dimension ref="A1:G10"/>
  <sheetViews>
    <sheetView workbookViewId="0">
      <selection activeCell="A6" sqref="A6"/>
    </sheetView>
  </sheetViews>
  <sheetFormatPr baseColWidth="10" defaultRowHeight="16" x14ac:dyDescent="0.2"/>
  <cols>
    <col min="5" max="5" width="12.83203125" bestFit="1" customWidth="1"/>
    <col min="6" max="6" width="46.5" bestFit="1" customWidth="1"/>
  </cols>
  <sheetData>
    <row r="1" spans="1:7" x14ac:dyDescent="0.2">
      <c r="A1" s="1" t="s">
        <v>16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38</v>
      </c>
      <c r="G1" s="1" t="s">
        <v>2</v>
      </c>
    </row>
    <row r="2" spans="1:7" x14ac:dyDescent="0.2">
      <c r="A2" t="s">
        <v>17</v>
      </c>
      <c r="B2" t="s">
        <v>22</v>
      </c>
      <c r="C2" t="s">
        <v>27</v>
      </c>
      <c r="D2" t="s">
        <v>32</v>
      </c>
      <c r="E2" t="s">
        <v>35</v>
      </c>
      <c r="F2" t="s">
        <v>44</v>
      </c>
      <c r="G2">
        <v>5</v>
      </c>
    </row>
    <row r="3" spans="1:7" x14ac:dyDescent="0.2">
      <c r="A3" t="s">
        <v>18</v>
      </c>
      <c r="B3" t="s">
        <v>23</v>
      </c>
      <c r="C3" t="s">
        <v>28</v>
      </c>
      <c r="D3" t="s">
        <v>33</v>
      </c>
      <c r="E3" t="s">
        <v>36</v>
      </c>
      <c r="F3" t="s">
        <v>45</v>
      </c>
      <c r="G3">
        <v>10</v>
      </c>
    </row>
    <row r="4" spans="1:7" x14ac:dyDescent="0.2">
      <c r="A4" t="s">
        <v>19</v>
      </c>
      <c r="B4" t="s">
        <v>24</v>
      </c>
      <c r="C4" t="s">
        <v>29</v>
      </c>
      <c r="D4" t="s">
        <v>34</v>
      </c>
      <c r="E4" t="s">
        <v>37</v>
      </c>
      <c r="F4" t="s">
        <v>46</v>
      </c>
    </row>
    <row r="5" spans="1:7" x14ac:dyDescent="0.2">
      <c r="A5" t="s">
        <v>20</v>
      </c>
      <c r="B5" t="s">
        <v>25</v>
      </c>
      <c r="C5" t="s">
        <v>30</v>
      </c>
      <c r="D5" t="s">
        <v>78</v>
      </c>
      <c r="F5" t="s">
        <v>47</v>
      </c>
    </row>
    <row r="6" spans="1:7" x14ac:dyDescent="0.2">
      <c r="A6" t="s">
        <v>21</v>
      </c>
      <c r="B6" t="s">
        <v>26</v>
      </c>
      <c r="C6" t="s">
        <v>31</v>
      </c>
      <c r="F6" t="s">
        <v>48</v>
      </c>
    </row>
    <row r="7" spans="1:7" x14ac:dyDescent="0.2">
      <c r="A7" t="s">
        <v>60</v>
      </c>
      <c r="F7" t="s">
        <v>49</v>
      </c>
    </row>
    <row r="8" spans="1:7" x14ac:dyDescent="0.2">
      <c r="F8" t="s">
        <v>50</v>
      </c>
    </row>
    <row r="9" spans="1:7" x14ac:dyDescent="0.2">
      <c r="F9" t="s">
        <v>51</v>
      </c>
    </row>
    <row r="10" spans="1:7" x14ac:dyDescent="0.2">
      <c r="F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Status</vt:lpstr>
      <vt:lpstr>Courses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Hansen</dc:creator>
  <cp:lastModifiedBy>Noah Hansen</cp:lastModifiedBy>
  <dcterms:created xsi:type="dcterms:W3CDTF">2026-04-28T12:36:08Z</dcterms:created>
  <dcterms:modified xsi:type="dcterms:W3CDTF">2026-04-28T19:26:21Z</dcterms:modified>
</cp:coreProperties>
</file>